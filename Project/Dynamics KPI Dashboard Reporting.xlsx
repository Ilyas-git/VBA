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Project\VBA\Project\"/>
    </mc:Choice>
  </mc:AlternateContent>
  <xr:revisionPtr revIDLastSave="0" documentId="13_ncr:1_{B8571A4B-42EC-4165-A877-94BFEDD148FB}" xr6:coauthVersionLast="47" xr6:coauthVersionMax="47" xr10:uidLastSave="{00000000-0000-0000-0000-000000000000}"/>
  <bookViews>
    <workbookView xWindow="-120" yWindow="-120" windowWidth="20730" windowHeight="11760" xr2:uid="{597D4A5B-022A-4A34-A510-B5DD9CB755FB}"/>
  </bookViews>
  <sheets>
    <sheet name="Dashboard" sheetId="1" r:id="rId1"/>
    <sheet name="Data" sheetId="2" r:id="rId2"/>
    <sheet name="Pivot_Calculations" sheetId="3" r:id="rId3"/>
    <sheet name="Settings_Config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<sst xmlns="http://schemas.openxmlformats.org/spreadsheetml/2006/main" count="792" uniqueCount="67">
  <si>
    <t>Date</t>
  </si>
  <si>
    <t>Month_Year</t>
  </si>
  <si>
    <t>Branch</t>
  </si>
  <si>
    <t>Department</t>
  </si>
  <si>
    <t>Sales_Rep</t>
  </si>
  <si>
    <t>Target</t>
  </si>
  <si>
    <t>Actual_Revenue</t>
  </si>
  <si>
    <t>COGS</t>
  </si>
  <si>
    <t>Gross_Profit</t>
  </si>
  <si>
    <t>Jan-2026</t>
  </si>
  <si>
    <t>Jakarta</t>
  </si>
  <si>
    <t>Enterprise Solutions</t>
  </si>
  <si>
    <t>Budi Santoso</t>
  </si>
  <si>
    <t>Cloud &amp; Infrastructure</t>
  </si>
  <si>
    <t>Hardware &amp; Devices</t>
  </si>
  <si>
    <t>Consulting Services</t>
  </si>
  <si>
    <t>Reza Pratama</t>
  </si>
  <si>
    <t>Dewi Lestari</t>
  </si>
  <si>
    <t>Surabaya</t>
  </si>
  <si>
    <t>Siti Rahmawati</t>
  </si>
  <si>
    <t>Bambang Pamungkas</t>
  </si>
  <si>
    <t>Eka Putri</t>
  </si>
  <si>
    <t>Bandung</t>
  </si>
  <si>
    <t>Ahmad Hidayat</t>
  </si>
  <si>
    <t>Rina Marlina</t>
  </si>
  <si>
    <t>Dian Sastro</t>
  </si>
  <si>
    <t>Medan</t>
  </si>
  <si>
    <t>Hendra Wijaya</t>
  </si>
  <si>
    <t>Rudi Hartono</t>
  </si>
  <si>
    <t>Putri Siregar</t>
  </si>
  <si>
    <t>Bali</t>
  </si>
  <si>
    <t>Ni Made Ayu</t>
  </si>
  <si>
    <t>I Gede Suardana</t>
  </si>
  <si>
    <t>Ketut Wardana</t>
  </si>
  <si>
    <t>Feb-2026</t>
  </si>
  <si>
    <t>Mar-2026</t>
  </si>
  <si>
    <t>Semarang</t>
  </si>
  <si>
    <t>(All)</t>
  </si>
  <si>
    <t>Row Labels</t>
  </si>
  <si>
    <t>Grand Total</t>
  </si>
  <si>
    <t>Sum of Actual_Revenue</t>
  </si>
  <si>
    <t>Sum of Target</t>
  </si>
  <si>
    <t>Sum of COGS</t>
  </si>
  <si>
    <t>Sum of Gross_Profit</t>
  </si>
  <si>
    <t>SYSTEM CONFIGURATION &amp; DIRECTORY</t>
  </si>
  <si>
    <t>PDF Output Folder</t>
  </si>
  <si>
    <t>D:\Data Analyst Project\VBA\Reports\</t>
  </si>
  <si>
    <t>Manager Name</t>
  </si>
  <si>
    <t>Email Address</t>
  </si>
  <si>
    <t>CC Address</t>
  </si>
  <si>
    <t>Agus Pratama</t>
  </si>
  <si>
    <t>I Wayan Sukarta</t>
  </si>
  <si>
    <t>budi.santoso@perusahaan.com</t>
  </si>
  <si>
    <t>siti.rahmawati@perusahaan.com</t>
  </si>
  <si>
    <t>agus.pratama@perusahaan.com</t>
  </si>
  <si>
    <t>dewi.lestari@perusahaan.com</t>
  </si>
  <si>
    <t>iwayan.sukarta@perusahaan.com</t>
  </si>
  <si>
    <t>finance@perusahaan.com</t>
  </si>
  <si>
    <t>Master Branches</t>
  </si>
  <si>
    <t>Master Months</t>
  </si>
  <si>
    <t>All Branches</t>
  </si>
  <si>
    <t>All Months</t>
  </si>
  <si>
    <t>Mar2026</t>
  </si>
  <si>
    <t>EXECUTIVE PERFORMANCE DASHBOARD</t>
  </si>
  <si>
    <t>Cabang</t>
  </si>
  <si>
    <t>Bulan</t>
  </si>
  <si>
    <t>="Last Updated: " &amp; TEXT(NOW(), "dd-mmm-yyyy hh:mm")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</si>
</sst>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Rp&quot;\ #,##0;\(&quot;Rp&quot;\ #,##0\);&quot;Rp 0&quot;"/>
  </numFmts>
  <fonts count="5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3" tint="0.249977111117893"/>
      <name val="Arial Unicode MS"/>
    </font>
    <font>
      <b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335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0" fillId="0" borderId="0" xfId="0" applyNumberFormat="1"/>
    <xf numFmtId="49" fontId="0" fillId="0" borderId="0" xfId="0" quotePrefix="1" applyNumberFormat="1"/>
    <xf numFmtId="165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7" fontId="0" fillId="0" borderId="0" xfId="0" quotePrefix="1" applyNumberForma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numFmt numFmtId="22" formatCode="mmm\-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Rp&quot;\ #,##0;\(&quot;Rp&quot;\ #,##0\);&quot;Rp 0&quot;"/>
    </dxf>
    <dxf>
      <numFmt numFmtId="165" formatCode="&quot;Rp&quot;\ #,##0;\(&quot;Rp&quot;\ #,##0\);&quot;Rp 0&quot;"/>
    </dxf>
    <dxf>
      <numFmt numFmtId="165" formatCode="&quot;Rp&quot;\ #,##0;\(&quot;Rp&quot;\ #,##0\);&quot;Rp 0&quot;"/>
    </dxf>
    <dxf>
      <numFmt numFmtId="165" formatCode="&quot;Rp&quot;\ #,##0;\(&quot;Rp&quot;\ #,##0\);&quot;Rp 0&quot;"/>
    </dxf>
    <dxf>
      <numFmt numFmtId="30" formatCode="@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833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[Dynamics KPI Dashboard Reporting.xlsx]Pivot_Calculations!PivotTable1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Pivot_Calculations!$B$4</c:f>
              <c:strCache>
                <c:ptCount val="1"/>
                <c:pt idx="0">
                  <c:v>Sum of Actual_Revenue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Pivot_Calculations!$A$5:$A$9</c:f>
              <c:strCache>
                <c:ptCount val="4"/>
                <c:pt idx="0">
                  <c:v>Cloud &amp; Infrastructure</c:v>
                </c:pt>
                <c:pt idx="1">
                  <c:v>Consulting Services</c:v>
                </c:pt>
                <c:pt idx="2">
                  <c:v>Enterprise Solutions</c:v>
                </c:pt>
                <c:pt idx="3">
                  <c:v>Hardware &amp; Devices</c:v>
                </c:pt>
              </c:strCache>
            </c:strRef>
          </c:cat>
          <c:val>
            <c:numRef>
              <c:f>Pivot_Calculations!$B$5:$B$9</c:f>
              <c:numCache>
                <c:formatCode>"Rp"\ #,##0;\("Rp"\ #,##0\);"Rp 0"</c:formatCode>
                <c:ptCount val="4"/>
                <c:pt idx="0">
                  <c:v>5271301542</c:v>
                </c:pt>
                <c:pt idx="1">
                  <c:v>5319693579</c:v>
                </c:pt>
                <c:pt idx="2">
                  <c:v>5131799743</c:v>
                </c:pt>
                <c:pt idx="3">
                  <c:v>5064787895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9-43CF-8DBC-92CEA5726EDF}"/>
            </c:ext>
          </c:extLst>
        </c:ser>
        <c:ser>
          <c:idx val="1"/>
          <c:order val="1"/>
          <c:tx>
            <c:strRef>
              <c:f>Pivot_Calculations!$C$4</c:f>
              <c:strCache>
                <c:ptCount val="1"/>
                <c:pt idx="0">
                  <c:v>Sum of Gross_Profit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Pivot_Calculations!$A$5:$A$9</c:f>
              <c:strCache>
                <c:ptCount val="4"/>
                <c:pt idx="0">
                  <c:v>Cloud &amp; Infrastructure</c:v>
                </c:pt>
                <c:pt idx="1">
                  <c:v>Consulting Services</c:v>
                </c:pt>
                <c:pt idx="2">
                  <c:v>Enterprise Solutions</c:v>
                </c:pt>
                <c:pt idx="3">
                  <c:v>Hardware &amp; Devices</c:v>
                </c:pt>
              </c:strCache>
            </c:strRef>
          </c:cat>
          <c:val>
            <c:numRef>
              <c:f>Pivot_Calculations!$C$5:$C$9</c:f>
              <c:numCache>
                <c:formatCode>"Rp"\ #,##0;\("Rp"\ #,##0\);"Rp 0"</c:formatCode>
                <c:ptCount val="4"/>
                <c:pt idx="0">
                  <c:v>2052390113</c:v>
                </c:pt>
                <c:pt idx="1">
                  <c:v>2034180061</c:v>
                </c:pt>
                <c:pt idx="2">
                  <c:v>1928176310</c:v>
                </c:pt>
                <c:pt idx="3">
                  <c:v>1923870369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9-43CF-8DBC-92CEA5726EDF}"/>
            </c:ext>
          </c:extLst>
        </c:ser>
        <c:ser>
          <c:idx val="2"/>
          <c:order val="2"/>
          <c:tx>
            <c:strRef>
              <c:f>Pivot_Calculations!$D$4</c:f>
              <c:strCache>
                <c:ptCount val="1"/>
                <c:pt idx="0">
                  <c:v>Sum of 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Pivot_Calculations!$A$5:$A$9</c:f>
              <c:strCache>
                <c:ptCount val="4"/>
                <c:pt idx="0">
                  <c:v>Cloud &amp; Infrastructure</c:v>
                </c:pt>
                <c:pt idx="1">
                  <c:v>Consulting Services</c:v>
                </c:pt>
                <c:pt idx="2">
                  <c:v>Enterprise Solutions</c:v>
                </c:pt>
                <c:pt idx="3">
                  <c:v>Hardware &amp; Devices</c:v>
                </c:pt>
              </c:strCache>
            </c:strRef>
          </c:cat>
          <c:val>
            <c:numRef>
              <c:f>Pivot_Calculations!$D$5:$D$9</c:f>
              <c:numCache>
                <c:formatCode>"Rp"\ #,##0;\("Rp"\ #,##0\);"Rp 0"</c:formatCode>
                <c:ptCount val="4"/>
                <c:pt idx="0">
                  <c:v>5093000000</c:v>
                </c:pt>
                <c:pt idx="1">
                  <c:v>5209000000</c:v>
                </c:pt>
                <c:pt idx="2">
                  <c:v>5006000000</c:v>
                </c:pt>
                <c:pt idx="3">
                  <c:v>4861000000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9-43CF-8DBC-92CEA5726EDF}"/>
            </c:ext>
          </c:extLst>
        </c:ser>
        <c:ser>
          <c:idx val="3"/>
          <c:order val="3"/>
          <c:tx>
            <c:strRef>
              <c:f>Pivot_Calculations!$E$4</c:f>
              <c:strCache>
                <c:ptCount val="1"/>
                <c:pt idx="0">
                  <c:v>Sum of COGS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Pivot_Calculations!$A$5:$A$9</c:f>
              <c:strCache>
                <c:ptCount val="4"/>
                <c:pt idx="0">
                  <c:v>Cloud &amp; Infrastructure</c:v>
                </c:pt>
                <c:pt idx="1">
                  <c:v>Consulting Services</c:v>
                </c:pt>
                <c:pt idx="2">
                  <c:v>Enterprise Solutions</c:v>
                </c:pt>
                <c:pt idx="3">
                  <c:v>Hardware &amp; Devices</c:v>
                </c:pt>
              </c:strCache>
            </c:strRef>
          </c:cat>
          <c:val>
            <c:numRef>
              <c:f>Pivot_Calculations!$E$5:$E$9</c:f>
              <c:numCache>
                <c:formatCode>"Rp"\ #,##0;\("Rp"\ #,##0\);"Rp 0"</c:formatCode>
                <c:ptCount val="4"/>
                <c:pt idx="0">
                  <c:v>3218911429</c:v>
                </c:pt>
                <c:pt idx="1">
                  <c:v>3285513518</c:v>
                </c:pt>
                <c:pt idx="2">
                  <c:v>3203623433</c:v>
                </c:pt>
                <c:pt idx="3">
                  <c:v>3141343500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C9-43CF-8DBC-92CEA5726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5088367"/>
        <c:axId val="1440909551"/>
      </c:barChart>
      <c:catAx>
        <c:axId val="14050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909551"/>
        <c:crosses val="autoZero"/>
        <c:auto val="1"/>
        <c:lblAlgn val="ctr"/>
        <c:lblOffset val="100"/>
        <c:noMultiLvlLbl val="0"/>
      </c:catAx>
      <c:valAx>
        <c:axId val="144090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\ #,##0;\(&quot;Rp&quot;\ #,##0\);&quot;Rp 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08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</xdr:colOff>
      <xdr:row>11</xdr:row>
      <xdr:rowOff>80962</xdr:rowOff>
    </xdr:from>
    <xdr:to>
      <xdr:col>7</xdr:col>
      <xdr:colOff>376237</xdr:colOff>
      <xdr:row>25</xdr:row>
      <xdr:rowOff>157162</xdr:rowOff>
    </xdr:to>
    <xdr:graphicFrame macro="">
      <xdr:nvGraphicFramePr>
        <xdr:cNvPr id="2" name="ptKPISummary">
          <a:extLst>
            <a:ext uri="{FF2B5EF4-FFF2-40B4-BE49-F238E27FC236}">
              <a16:creationId xmlns:a16="http://schemas.microsoft.com/office/drawing/2014/main" id="{BC56FA75-8C7D-011D-728B-4A25511E8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s" refreshedDate="46303.442392013887" createdVersion="8" refreshedVersion="8" minRefreshableVersion="3" recordCount="181" xr:uid="{9BBBDE1D-9843-4690-B9D2-E71105454A62}">
  <cacheSource type="worksheet">
    <worksheetSource name="tblSalesData"/>
  </cacheSource>
  <cacheFields count="9">
    <cacheField name="Date" numFmtId="164">
      <sharedItems containsSemiMixedTypes="0" containsNonDate="0" containsDate="1" containsString="0" minDate="2026-01-01T00:00:00" maxDate="2026-03-29T00:00:00"/>
    </cacheField>
    <cacheField name="Month_Year" numFmtId="49">
      <sharedItems count="3">
        <s v="Jan-2026"/>
        <s v="Feb-2026"/>
        <s v="Mar-2026"/>
      </sharedItems>
    </cacheField>
    <cacheField name="Branch" numFmtId="0">
      <sharedItems count="6">
        <s v="Jakarta"/>
        <s v="Surabaya"/>
        <s v="Bandung"/>
        <s v="Medan"/>
        <s v="Bali"/>
        <s v="Semarang"/>
      </sharedItems>
    </cacheField>
    <cacheField name="Department" numFmtId="0">
      <sharedItems count="4">
        <s v="Enterprise Solutions"/>
        <s v="Cloud &amp; Infrastructure"/>
        <s v="Hardware &amp; Devices"/>
        <s v="Consulting Services"/>
      </sharedItems>
    </cacheField>
    <cacheField name="Sales_Rep" numFmtId="0">
      <sharedItems/>
    </cacheField>
    <cacheField name="Target" numFmtId="165">
      <sharedItems containsSemiMixedTypes="0" containsString="0" containsNumber="1" containsInteger="1" minValue="70000000" maxValue="160000000"/>
    </cacheField>
    <cacheField name="Actual_Revenue" numFmtId="165">
      <sharedItems containsSemiMixedTypes="0" containsString="0" containsNumber="1" containsInteger="1" minValue="65490131" maxValue="188830394"/>
    </cacheField>
    <cacheField name="COGS" numFmtId="165">
      <sharedItems containsSemiMixedTypes="0" containsString="0" containsNumber="1" containsInteger="1" minValue="38238951" maxValue="113069733"/>
    </cacheField>
    <cacheField name="Gross_Profit" numFmtId="165">
      <sharedItems containsSemiMixedTypes="0" containsString="0" containsNumber="1" containsInteger="1" minValue="21599736" maxValue="772858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d v="2026-01-21T00:00:00"/>
    <x v="0"/>
    <x v="0"/>
    <x v="0"/>
    <s v="Budi Santoso"/>
    <n v="84000000"/>
    <n v="69783388"/>
    <n v="40875885"/>
    <n v="28907503"/>
  </r>
  <r>
    <d v="2026-01-08T00:00:00"/>
    <x v="0"/>
    <x v="0"/>
    <x v="1"/>
    <s v="Budi Santoso"/>
    <n v="87000000"/>
    <n v="98891388"/>
    <n v="63089831"/>
    <n v="35801557"/>
  </r>
  <r>
    <d v="2026-01-18T00:00:00"/>
    <x v="0"/>
    <x v="0"/>
    <x v="2"/>
    <s v="Budi Santoso"/>
    <n v="81000000"/>
    <n v="86986854"/>
    <n v="48202177"/>
    <n v="38784677"/>
  </r>
  <r>
    <d v="2026-01-03T00:00:00"/>
    <x v="0"/>
    <x v="0"/>
    <x v="3"/>
    <s v="Budi Santoso"/>
    <n v="97000000"/>
    <n v="89244285"/>
    <n v="56068831"/>
    <n v="33175454"/>
  </r>
  <r>
    <d v="2026-01-18T00:00:00"/>
    <x v="0"/>
    <x v="0"/>
    <x v="0"/>
    <s v="Reza Pratama"/>
    <n v="95000000"/>
    <n v="107149401"/>
    <n v="68701222"/>
    <n v="38448179"/>
  </r>
  <r>
    <d v="2026-01-14T00:00:00"/>
    <x v="0"/>
    <x v="0"/>
    <x v="1"/>
    <s v="Reza Pratama"/>
    <n v="98000000"/>
    <n v="99289669"/>
    <n v="58200108"/>
    <n v="41089561"/>
  </r>
  <r>
    <d v="2026-01-28T00:00:00"/>
    <x v="0"/>
    <x v="0"/>
    <x v="2"/>
    <s v="Reza Pratama"/>
    <n v="70000000"/>
    <n v="80240101"/>
    <n v="45797495"/>
    <n v="34442606"/>
  </r>
  <r>
    <d v="2026-01-14T00:00:00"/>
    <x v="0"/>
    <x v="0"/>
    <x v="3"/>
    <s v="Reza Pratama"/>
    <n v="113000000"/>
    <n v="106161768"/>
    <n v="61360524"/>
    <n v="44801244"/>
  </r>
  <r>
    <d v="2026-01-25T00:00:00"/>
    <x v="0"/>
    <x v="0"/>
    <x v="0"/>
    <s v="Dewi Lestari"/>
    <n v="113000000"/>
    <n v="97626397"/>
    <n v="58516339"/>
    <n v="39110058"/>
  </r>
  <r>
    <d v="2026-01-12T00:00:00"/>
    <x v="0"/>
    <x v="0"/>
    <x v="1"/>
    <s v="Dewi Lestari"/>
    <n v="114000000"/>
    <n v="123074650"/>
    <n v="80604871"/>
    <n v="42469779"/>
  </r>
  <r>
    <d v="2026-01-24T00:00:00"/>
    <x v="0"/>
    <x v="0"/>
    <x v="2"/>
    <s v="Dewi Lestari"/>
    <n v="128000000"/>
    <n v="134473994"/>
    <n v="90972335"/>
    <n v="43501659"/>
  </r>
  <r>
    <d v="2026-01-13T00:00:00"/>
    <x v="0"/>
    <x v="0"/>
    <x v="3"/>
    <s v="Dewi Lestari"/>
    <n v="80000000"/>
    <n v="84590197"/>
    <n v="55645343"/>
    <n v="28944854"/>
  </r>
  <r>
    <d v="2026-01-20T00:00:00"/>
    <x v="0"/>
    <x v="1"/>
    <x v="0"/>
    <s v="Siti Rahmawati"/>
    <n v="116000000"/>
    <n v="123918325"/>
    <n v="79505295"/>
    <n v="44413030"/>
  </r>
  <r>
    <d v="2026-01-02T00:00:00"/>
    <x v="0"/>
    <x v="1"/>
    <x v="1"/>
    <s v="Siti Rahmawati"/>
    <n v="154000000"/>
    <n v="141371423"/>
    <n v="83072737"/>
    <n v="58298686"/>
  </r>
  <r>
    <d v="2026-01-03T00:00:00"/>
    <x v="0"/>
    <x v="1"/>
    <x v="2"/>
    <s v="Siti Rahmawati"/>
    <n v="99000000"/>
    <n v="118066209"/>
    <n v="70770823"/>
    <n v="47295386"/>
  </r>
  <r>
    <d v="2026-01-15T00:00:00"/>
    <x v="0"/>
    <x v="1"/>
    <x v="3"/>
    <s v="Siti Rahmawati"/>
    <n v="151000000"/>
    <n v="177978790"/>
    <n v="101651701"/>
    <n v="76327089"/>
  </r>
  <r>
    <d v="2026-01-12T00:00:00"/>
    <x v="0"/>
    <x v="1"/>
    <x v="0"/>
    <s v="Bambang Pamungkas"/>
    <n v="96000000"/>
    <n v="106384831"/>
    <n v="68217851"/>
    <n v="38166980"/>
  </r>
  <r>
    <d v="2026-01-22T00:00:00"/>
    <x v="0"/>
    <x v="1"/>
    <x v="1"/>
    <s v="Bambang Pamungkas"/>
    <n v="152000000"/>
    <n v="129306868"/>
    <n v="81792694"/>
    <n v="47514174"/>
  </r>
  <r>
    <d v="2026-01-18T00:00:00"/>
    <x v="0"/>
    <x v="1"/>
    <x v="2"/>
    <s v="Bambang Pamungkas"/>
    <n v="101000000"/>
    <n v="89916570"/>
    <n v="53889626"/>
    <n v="36026944"/>
  </r>
  <r>
    <d v="2026-01-21T00:00:00"/>
    <x v="0"/>
    <x v="1"/>
    <x v="3"/>
    <s v="Bambang Pamungkas"/>
    <n v="158000000"/>
    <n v="167399165"/>
    <n v="106968041"/>
    <n v="60431124"/>
  </r>
  <r>
    <d v="2026-01-27T00:00:00"/>
    <x v="0"/>
    <x v="1"/>
    <x v="0"/>
    <s v="Eka Putri"/>
    <n v="77000000"/>
    <n v="70723781"/>
    <n v="39193212"/>
    <n v="31530569"/>
  </r>
  <r>
    <d v="2026-01-11T00:00:00"/>
    <x v="0"/>
    <x v="1"/>
    <x v="1"/>
    <s v="Eka Putri"/>
    <n v="121000000"/>
    <n v="113150557"/>
    <n v="65336273"/>
    <n v="47814284"/>
  </r>
  <r>
    <d v="2026-01-19T00:00:00"/>
    <x v="0"/>
    <x v="1"/>
    <x v="2"/>
    <s v="Eka Putri"/>
    <n v="110000000"/>
    <n v="100257235"/>
    <n v="61648180"/>
    <n v="38609055"/>
  </r>
  <r>
    <d v="2026-01-21T00:00:00"/>
    <x v="0"/>
    <x v="1"/>
    <x v="3"/>
    <s v="Eka Putri"/>
    <n v="128000000"/>
    <n v="112823652"/>
    <n v="64100976"/>
    <n v="48722676"/>
  </r>
  <r>
    <d v="2026-01-24T00:00:00"/>
    <x v="0"/>
    <x v="2"/>
    <x v="0"/>
    <s v="Ahmad Hidayat"/>
    <n v="141000000"/>
    <n v="148298193"/>
    <n v="95965509"/>
    <n v="52332684"/>
  </r>
  <r>
    <d v="2026-01-14T00:00:00"/>
    <x v="0"/>
    <x v="2"/>
    <x v="1"/>
    <s v="Ahmad Hidayat"/>
    <n v="144000000"/>
    <n v="142810879"/>
    <n v="82617764"/>
    <n v="60193115"/>
  </r>
  <r>
    <d v="2026-01-05T00:00:00"/>
    <x v="0"/>
    <x v="2"/>
    <x v="2"/>
    <s v="Ahmad Hidayat"/>
    <n v="135000000"/>
    <n v="139348594"/>
    <n v="90332960"/>
    <n v="49015634"/>
  </r>
  <r>
    <d v="2026-01-28T00:00:00"/>
    <x v="0"/>
    <x v="2"/>
    <x v="3"/>
    <s v="Ahmad Hidayat"/>
    <n v="84000000"/>
    <n v="74400628"/>
    <n v="42467704"/>
    <n v="31932924"/>
  </r>
  <r>
    <d v="2026-01-22T00:00:00"/>
    <x v="0"/>
    <x v="2"/>
    <x v="0"/>
    <s v="Rina Marlina"/>
    <n v="124000000"/>
    <n v="133480529"/>
    <n v="80090953"/>
    <n v="53389576"/>
  </r>
  <r>
    <d v="2026-01-20T00:00:00"/>
    <x v="0"/>
    <x v="2"/>
    <x v="1"/>
    <s v="Rina Marlina"/>
    <n v="129000000"/>
    <n v="135129972"/>
    <n v="91380317"/>
    <n v="43749655"/>
  </r>
  <r>
    <d v="2026-01-28T00:00:00"/>
    <x v="0"/>
    <x v="2"/>
    <x v="2"/>
    <s v="Rina Marlina"/>
    <n v="71000000"/>
    <n v="78989052"/>
    <n v="44620261"/>
    <n v="34368791"/>
  </r>
  <r>
    <d v="2026-01-18T00:00:00"/>
    <x v="0"/>
    <x v="2"/>
    <x v="3"/>
    <s v="Rina Marlina"/>
    <n v="104000000"/>
    <n v="119651735"/>
    <n v="71099790"/>
    <n v="48551945"/>
  </r>
  <r>
    <d v="2026-01-10T00:00:00"/>
    <x v="0"/>
    <x v="2"/>
    <x v="0"/>
    <s v="Dian Sastro"/>
    <n v="125000000"/>
    <n v="111000979"/>
    <n v="61097368"/>
    <n v="49903611"/>
  </r>
  <r>
    <d v="2026-01-24T00:00:00"/>
    <x v="0"/>
    <x v="2"/>
    <x v="1"/>
    <s v="Dian Sastro"/>
    <n v="103000000"/>
    <n v="127504923"/>
    <n v="82757718"/>
    <n v="44747205"/>
  </r>
  <r>
    <d v="2026-01-17T00:00:00"/>
    <x v="0"/>
    <x v="2"/>
    <x v="2"/>
    <s v="Dian Sastro"/>
    <n v="83000000"/>
    <n v="99128807"/>
    <n v="58366825"/>
    <n v="40761982"/>
  </r>
  <r>
    <d v="2026-01-21T00:00:00"/>
    <x v="0"/>
    <x v="2"/>
    <x v="3"/>
    <s v="Dian Sastro"/>
    <n v="134000000"/>
    <n v="144968863"/>
    <n v="82613276"/>
    <n v="62355587"/>
  </r>
  <r>
    <d v="2026-01-25T00:00:00"/>
    <x v="0"/>
    <x v="3"/>
    <x v="0"/>
    <s v="Hendra Wijaya"/>
    <n v="90000000"/>
    <n v="94673968"/>
    <n v="61653717"/>
    <n v="33020251"/>
  </r>
  <r>
    <d v="2026-01-17T00:00:00"/>
    <x v="0"/>
    <x v="3"/>
    <x v="1"/>
    <s v="Hendra Wijaya"/>
    <n v="70000000"/>
    <n v="75428231"/>
    <n v="46276633"/>
    <n v="29151598"/>
  </r>
  <r>
    <d v="2026-01-04T00:00:00"/>
    <x v="0"/>
    <x v="3"/>
    <x v="2"/>
    <s v="Hendra Wijaya"/>
    <n v="116000000"/>
    <n v="138950647"/>
    <n v="91445716"/>
    <n v="47504931"/>
  </r>
  <r>
    <d v="2026-01-10T00:00:00"/>
    <x v="0"/>
    <x v="3"/>
    <x v="3"/>
    <s v="Hendra Wijaya"/>
    <n v="100000000"/>
    <n v="84490782"/>
    <n v="56113813"/>
    <n v="28376969"/>
  </r>
  <r>
    <d v="2026-01-03T00:00:00"/>
    <x v="0"/>
    <x v="3"/>
    <x v="0"/>
    <s v="Rudi Hartono"/>
    <n v="80000000"/>
    <n v="90777621"/>
    <n v="59557656"/>
    <n v="31219965"/>
  </r>
  <r>
    <d v="2026-01-25T00:00:00"/>
    <x v="0"/>
    <x v="3"/>
    <x v="1"/>
    <s v="Rudi Hartono"/>
    <n v="138000000"/>
    <n v="158604615"/>
    <n v="89879790"/>
    <n v="68724825"/>
  </r>
  <r>
    <d v="2026-01-16T00:00:00"/>
    <x v="0"/>
    <x v="3"/>
    <x v="2"/>
    <s v="Rudi Hartono"/>
    <n v="140000000"/>
    <n v="124740642"/>
    <n v="77164260"/>
    <n v="47576382"/>
  </r>
  <r>
    <d v="2026-01-20T00:00:00"/>
    <x v="0"/>
    <x v="3"/>
    <x v="3"/>
    <s v="Rudi Hartono"/>
    <n v="124000000"/>
    <n v="153099830"/>
    <n v="102693051"/>
    <n v="50406779"/>
  </r>
  <r>
    <d v="2026-01-25T00:00:00"/>
    <x v="0"/>
    <x v="3"/>
    <x v="0"/>
    <s v="Putri Siregar"/>
    <n v="158000000"/>
    <n v="143226203"/>
    <n v="84578383"/>
    <n v="58647820"/>
  </r>
  <r>
    <d v="2026-01-22T00:00:00"/>
    <x v="0"/>
    <x v="3"/>
    <x v="1"/>
    <s v="Putri Siregar"/>
    <n v="153000000"/>
    <n v="150027334"/>
    <n v="100060705"/>
    <n v="49966629"/>
  </r>
  <r>
    <d v="2026-01-15T00:00:00"/>
    <x v="0"/>
    <x v="3"/>
    <x v="2"/>
    <s v="Putri Siregar"/>
    <n v="85000000"/>
    <n v="78760950"/>
    <n v="43974078"/>
    <n v="34786872"/>
  </r>
  <r>
    <d v="2026-01-01T00:00:00"/>
    <x v="0"/>
    <x v="3"/>
    <x v="3"/>
    <s v="Putri Siregar"/>
    <n v="145000000"/>
    <n v="153437006"/>
    <n v="96127856"/>
    <n v="57309150"/>
  </r>
  <r>
    <d v="2026-01-01T00:00:00"/>
    <x v="0"/>
    <x v="4"/>
    <x v="0"/>
    <s v="Ni Made Ayu"/>
    <n v="79000000"/>
    <n v="88825356"/>
    <n v="49533778"/>
    <n v="39291578"/>
  </r>
  <r>
    <d v="2026-01-03T00:00:00"/>
    <x v="0"/>
    <x v="4"/>
    <x v="1"/>
    <s v="Ni Made Ayu"/>
    <n v="74000000"/>
    <n v="88033598"/>
    <n v="49229396"/>
    <n v="38804202"/>
  </r>
  <r>
    <d v="2026-01-08T00:00:00"/>
    <x v="0"/>
    <x v="4"/>
    <x v="2"/>
    <s v="Ni Made Ayu"/>
    <n v="105000000"/>
    <n v="116304346"/>
    <n v="67206557"/>
    <n v="49097789"/>
  </r>
  <r>
    <d v="2026-01-05T00:00:00"/>
    <x v="0"/>
    <x v="4"/>
    <x v="3"/>
    <s v="Ni Made Ayu"/>
    <n v="143000000"/>
    <n v="152691254"/>
    <n v="88803651"/>
    <n v="63887603"/>
  </r>
  <r>
    <d v="2026-01-16T00:00:00"/>
    <x v="0"/>
    <x v="4"/>
    <x v="0"/>
    <s v="I Gede Suardana"/>
    <n v="122000000"/>
    <n v="110028904"/>
    <n v="61902372"/>
    <n v="48126532"/>
  </r>
  <r>
    <d v="2026-01-14T00:00:00"/>
    <x v="0"/>
    <x v="4"/>
    <x v="1"/>
    <s v="I Gede Suardana"/>
    <n v="115000000"/>
    <n v="115245962"/>
    <n v="70382231"/>
    <n v="44863731"/>
  </r>
  <r>
    <d v="2026-01-24T00:00:00"/>
    <x v="0"/>
    <x v="4"/>
    <x v="2"/>
    <s v="I Gede Suardana"/>
    <n v="76000000"/>
    <n v="84325553"/>
    <n v="57167789"/>
    <n v="27157764"/>
  </r>
  <r>
    <d v="2026-01-04T00:00:00"/>
    <x v="0"/>
    <x v="4"/>
    <x v="3"/>
    <s v="I Gede Suardana"/>
    <n v="77000000"/>
    <n v="76470790"/>
    <n v="45432010"/>
    <n v="31038780"/>
  </r>
  <r>
    <d v="2026-01-28T00:00:00"/>
    <x v="0"/>
    <x v="4"/>
    <x v="0"/>
    <s v="Ketut Wardana"/>
    <n v="83000000"/>
    <n v="76934544"/>
    <n v="44216371"/>
    <n v="32718173"/>
  </r>
  <r>
    <d v="2026-01-15T00:00:00"/>
    <x v="0"/>
    <x v="4"/>
    <x v="1"/>
    <s v="Ketut Wardana"/>
    <n v="87000000"/>
    <n v="87122592"/>
    <n v="51072210"/>
    <n v="36050382"/>
  </r>
  <r>
    <d v="2026-01-08T00:00:00"/>
    <x v="0"/>
    <x v="4"/>
    <x v="2"/>
    <s v="Ketut Wardana"/>
    <n v="79000000"/>
    <n v="79833151"/>
    <n v="52847580"/>
    <n v="26985571"/>
  </r>
  <r>
    <d v="2026-01-18T00:00:00"/>
    <x v="0"/>
    <x v="4"/>
    <x v="3"/>
    <s v="Ketut Wardana"/>
    <n v="82000000"/>
    <n v="69023744"/>
    <n v="46929707"/>
    <n v="22094037"/>
  </r>
  <r>
    <d v="2026-02-27T00:00:00"/>
    <x v="1"/>
    <x v="0"/>
    <x v="0"/>
    <s v="Budi Santoso"/>
    <n v="71000000"/>
    <n v="87803455"/>
    <n v="58865869"/>
    <n v="28937586"/>
  </r>
  <r>
    <d v="2026-02-28T00:00:00"/>
    <x v="1"/>
    <x v="0"/>
    <x v="1"/>
    <s v="Budi Santoso"/>
    <n v="100000000"/>
    <n v="89151377"/>
    <n v="54661682"/>
    <n v="34489695"/>
  </r>
  <r>
    <d v="2026-02-07T00:00:00"/>
    <x v="1"/>
    <x v="0"/>
    <x v="2"/>
    <s v="Budi Santoso"/>
    <n v="121000000"/>
    <n v="146174102"/>
    <n v="83524294"/>
    <n v="62649808"/>
  </r>
  <r>
    <d v="2026-02-01T00:00:00"/>
    <x v="1"/>
    <x v="0"/>
    <x v="3"/>
    <s v="Budi Santoso"/>
    <n v="119000000"/>
    <n v="111150440"/>
    <n v="72462215"/>
    <n v="38688225"/>
  </r>
  <r>
    <d v="2026-02-15T00:00:00"/>
    <x v="1"/>
    <x v="0"/>
    <x v="0"/>
    <s v="Reza Pratama"/>
    <n v="106000000"/>
    <n v="106200681"/>
    <n v="71627186"/>
    <n v="34573495"/>
  </r>
  <r>
    <d v="2026-02-26T00:00:00"/>
    <x v="1"/>
    <x v="0"/>
    <x v="1"/>
    <s v="Reza Pratama"/>
    <n v="141000000"/>
    <n v="155749257"/>
    <n v="95515923"/>
    <n v="60233334"/>
  </r>
  <r>
    <d v="2026-02-07T00:00:00"/>
    <x v="1"/>
    <x v="0"/>
    <x v="2"/>
    <s v="Reza Pratama"/>
    <n v="107000000"/>
    <n v="97756418"/>
    <n v="54509255"/>
    <n v="43247163"/>
  </r>
  <r>
    <d v="2026-02-24T00:00:00"/>
    <x v="1"/>
    <x v="0"/>
    <x v="3"/>
    <s v="Reza Pratama"/>
    <n v="139000000"/>
    <n v="117623434"/>
    <n v="69488234"/>
    <n v="48135200"/>
  </r>
  <r>
    <d v="2026-02-02T00:00:00"/>
    <x v="1"/>
    <x v="0"/>
    <x v="0"/>
    <s v="Dewi Lestari"/>
    <n v="144000000"/>
    <n v="147602744"/>
    <n v="98823037"/>
    <n v="48779707"/>
  </r>
  <r>
    <d v="2026-02-17T00:00:00"/>
    <x v="1"/>
    <x v="0"/>
    <x v="1"/>
    <s v="Dewi Lestari"/>
    <n v="90000000"/>
    <n v="76001239"/>
    <n v="46818108"/>
    <n v="29183131"/>
  </r>
  <r>
    <d v="2026-02-28T00:00:00"/>
    <x v="1"/>
    <x v="0"/>
    <x v="2"/>
    <s v="Dewi Lestari"/>
    <n v="93000000"/>
    <n v="79000168"/>
    <n v="44148051"/>
    <n v="34852117"/>
  </r>
  <r>
    <d v="2026-02-28T00:00:00"/>
    <x v="1"/>
    <x v="0"/>
    <x v="3"/>
    <s v="Dewi Lestari"/>
    <n v="100000000"/>
    <n v="99362348"/>
    <n v="66811987"/>
    <n v="32550361"/>
  </r>
  <r>
    <d v="2026-02-19T00:00:00"/>
    <x v="1"/>
    <x v="1"/>
    <x v="0"/>
    <s v="Siti Rahmawati"/>
    <n v="101000000"/>
    <n v="107962454"/>
    <n v="59937128"/>
    <n v="48025326"/>
  </r>
  <r>
    <d v="2026-02-03T00:00:00"/>
    <x v="1"/>
    <x v="1"/>
    <x v="1"/>
    <s v="Siti Rahmawati"/>
    <n v="123000000"/>
    <n v="135628466"/>
    <n v="84561568"/>
    <n v="51066898"/>
  </r>
  <r>
    <d v="2026-02-11T00:00:00"/>
    <x v="1"/>
    <x v="1"/>
    <x v="2"/>
    <s v="Siti Rahmawati"/>
    <n v="103000000"/>
    <n v="93506639"/>
    <n v="60134580"/>
    <n v="33372059"/>
  </r>
  <r>
    <d v="2026-02-08T00:00:00"/>
    <x v="1"/>
    <x v="1"/>
    <x v="3"/>
    <s v="Siti Rahmawati"/>
    <n v="103000000"/>
    <n v="101989355"/>
    <n v="64999828"/>
    <n v="36989527"/>
  </r>
  <r>
    <d v="2026-02-10T00:00:00"/>
    <x v="1"/>
    <x v="1"/>
    <x v="0"/>
    <s v="Bambang Pamungkas"/>
    <n v="128000000"/>
    <n v="122362392"/>
    <n v="79259307"/>
    <n v="43103085"/>
  </r>
  <r>
    <d v="2026-02-03T00:00:00"/>
    <x v="1"/>
    <x v="1"/>
    <x v="1"/>
    <s v="Bambang Pamungkas"/>
    <n v="71000000"/>
    <n v="72211457"/>
    <n v="49089281"/>
    <n v="23122176"/>
  </r>
  <r>
    <d v="2026-02-04T00:00:00"/>
    <x v="1"/>
    <x v="1"/>
    <x v="2"/>
    <s v="Bambang Pamungkas"/>
    <n v="79000000"/>
    <n v="83043440"/>
    <n v="51135244"/>
    <n v="31908196"/>
  </r>
  <r>
    <d v="2026-02-05T00:00:00"/>
    <x v="1"/>
    <x v="1"/>
    <x v="3"/>
    <s v="Bambang Pamungkas"/>
    <n v="114000000"/>
    <n v="136659961"/>
    <n v="90783913"/>
    <n v="45876048"/>
  </r>
  <r>
    <d v="2026-02-12T00:00:00"/>
    <x v="1"/>
    <x v="1"/>
    <x v="0"/>
    <s v="Eka Putri"/>
    <n v="106000000"/>
    <n v="94110100"/>
    <n v="61960851"/>
    <n v="32149249"/>
  </r>
  <r>
    <d v="2026-02-23T00:00:00"/>
    <x v="1"/>
    <x v="1"/>
    <x v="1"/>
    <s v="Eka Putri"/>
    <n v="108000000"/>
    <n v="116966315"/>
    <n v="79342965"/>
    <n v="37623350"/>
  </r>
  <r>
    <d v="2026-02-21T00:00:00"/>
    <x v="1"/>
    <x v="1"/>
    <x v="2"/>
    <s v="Eka Putri"/>
    <n v="137000000"/>
    <n v="112800859"/>
    <n v="74022578"/>
    <n v="38778281"/>
  </r>
  <r>
    <d v="2026-02-10T00:00:00"/>
    <x v="1"/>
    <x v="1"/>
    <x v="3"/>
    <s v="Eka Putri"/>
    <n v="154000000"/>
    <n v="133139498"/>
    <n v="88425463"/>
    <n v="44714035"/>
  </r>
  <r>
    <d v="2026-02-09T00:00:00"/>
    <x v="1"/>
    <x v="2"/>
    <x v="0"/>
    <s v="Ahmad Hidayat"/>
    <n v="84000000"/>
    <n v="101016422"/>
    <n v="65308548"/>
    <n v="35707874"/>
  </r>
  <r>
    <d v="2026-02-05T00:00:00"/>
    <x v="1"/>
    <x v="2"/>
    <x v="1"/>
    <s v="Ahmad Hidayat"/>
    <n v="104000000"/>
    <n v="97880140"/>
    <n v="56514216"/>
    <n v="41365924"/>
  </r>
  <r>
    <d v="2026-02-11T00:00:00"/>
    <x v="1"/>
    <x v="2"/>
    <x v="2"/>
    <s v="Ahmad Hidayat"/>
    <n v="96000000"/>
    <n v="107099881"/>
    <n v="70780026"/>
    <n v="36319855"/>
  </r>
  <r>
    <d v="2026-02-17T00:00:00"/>
    <x v="1"/>
    <x v="2"/>
    <x v="3"/>
    <s v="Ahmad Hidayat"/>
    <n v="132000000"/>
    <n v="122493642"/>
    <n v="81833185"/>
    <n v="40660457"/>
  </r>
  <r>
    <d v="2026-02-02T00:00:00"/>
    <x v="1"/>
    <x v="2"/>
    <x v="0"/>
    <s v="Rina Marlina"/>
    <n v="81000000"/>
    <n v="88512127"/>
    <n v="58224627"/>
    <n v="30287500"/>
  </r>
  <r>
    <d v="2026-02-02T00:00:00"/>
    <x v="1"/>
    <x v="2"/>
    <x v="1"/>
    <s v="Rina Marlina"/>
    <n v="70000000"/>
    <n v="67440051"/>
    <n v="38238951"/>
    <n v="29201100"/>
  </r>
  <r>
    <d v="2026-02-09T00:00:00"/>
    <x v="1"/>
    <x v="2"/>
    <x v="2"/>
    <s v="Rina Marlina"/>
    <n v="90000000"/>
    <n v="102485636"/>
    <n v="63717211"/>
    <n v="38768425"/>
  </r>
  <r>
    <d v="2026-02-14T00:00:00"/>
    <x v="1"/>
    <x v="2"/>
    <x v="3"/>
    <s v="Rina Marlina"/>
    <n v="141000000"/>
    <n v="116206273"/>
    <n v="65050145"/>
    <n v="51156128"/>
  </r>
  <r>
    <d v="2026-02-23T00:00:00"/>
    <x v="1"/>
    <x v="2"/>
    <x v="0"/>
    <s v="Dian Sastro"/>
    <n v="89000000"/>
    <n v="93859740"/>
    <n v="61806390"/>
    <n v="32053350"/>
  </r>
  <r>
    <d v="2026-02-19T00:00:00"/>
    <x v="1"/>
    <x v="2"/>
    <x v="1"/>
    <s v="Dian Sastro"/>
    <n v="140000000"/>
    <n v="123715245"/>
    <n v="70093088"/>
    <n v="53622157"/>
  </r>
  <r>
    <d v="2026-02-10T00:00:00"/>
    <x v="1"/>
    <x v="2"/>
    <x v="2"/>
    <s v="Dian Sastro"/>
    <n v="116000000"/>
    <n v="139961196"/>
    <n v="91464067"/>
    <n v="48497129"/>
  </r>
  <r>
    <d v="2026-02-28T00:00:00"/>
    <x v="1"/>
    <x v="2"/>
    <x v="3"/>
    <s v="Dian Sastro"/>
    <n v="75000000"/>
    <n v="90490319"/>
    <n v="52240961"/>
    <n v="38249358"/>
  </r>
  <r>
    <d v="2026-02-08T00:00:00"/>
    <x v="1"/>
    <x v="3"/>
    <x v="0"/>
    <s v="Hendra Wijaya"/>
    <n v="155000000"/>
    <n v="133951194"/>
    <n v="87257831"/>
    <n v="46693363"/>
  </r>
  <r>
    <d v="2026-02-28T00:00:00"/>
    <x v="1"/>
    <x v="3"/>
    <x v="1"/>
    <s v="Hendra Wijaya"/>
    <n v="122000000"/>
    <n v="151127490"/>
    <n v="97844786"/>
    <n v="53282704"/>
  </r>
  <r>
    <d v="2026-02-08T00:00:00"/>
    <x v="1"/>
    <x v="3"/>
    <x v="2"/>
    <s v="Hendra Wijaya"/>
    <n v="90000000"/>
    <n v="111579173"/>
    <n v="73129026"/>
    <n v="38450147"/>
  </r>
  <r>
    <d v="2026-02-14T00:00:00"/>
    <x v="1"/>
    <x v="3"/>
    <x v="3"/>
    <s v="Hendra Wijaya"/>
    <n v="73000000"/>
    <n v="65490131"/>
    <n v="43890395"/>
    <n v="21599736"/>
  </r>
  <r>
    <d v="2026-02-26T00:00:00"/>
    <x v="1"/>
    <x v="3"/>
    <x v="0"/>
    <s v="Rudi Hartono"/>
    <n v="122000000"/>
    <n v="142125255"/>
    <n v="94133581"/>
    <n v="47991674"/>
  </r>
  <r>
    <d v="2026-02-26T00:00:00"/>
    <x v="1"/>
    <x v="3"/>
    <x v="1"/>
    <s v="Rudi Hartono"/>
    <n v="101000000"/>
    <n v="94407371"/>
    <n v="61587468"/>
    <n v="32819903"/>
  </r>
  <r>
    <d v="2026-02-04T00:00:00"/>
    <x v="1"/>
    <x v="3"/>
    <x v="2"/>
    <s v="Rudi Hartono"/>
    <n v="118000000"/>
    <n v="141013742"/>
    <n v="93297106"/>
    <n v="47716636"/>
  </r>
  <r>
    <d v="2026-02-08T00:00:00"/>
    <x v="1"/>
    <x v="3"/>
    <x v="3"/>
    <s v="Rudi Hartono"/>
    <n v="95000000"/>
    <n v="111257562"/>
    <n v="67849247"/>
    <n v="43408315"/>
  </r>
  <r>
    <d v="2026-02-10T00:00:00"/>
    <x v="1"/>
    <x v="3"/>
    <x v="0"/>
    <s v="Putri Siregar"/>
    <n v="99000000"/>
    <n v="90669855"/>
    <n v="57648284"/>
    <n v="33021571"/>
  </r>
  <r>
    <d v="2026-02-13T00:00:00"/>
    <x v="1"/>
    <x v="3"/>
    <x v="1"/>
    <s v="Putri Siregar"/>
    <n v="112000000"/>
    <n v="105257523"/>
    <n v="58841555"/>
    <n v="46415968"/>
  </r>
  <r>
    <d v="2026-02-25T00:00:00"/>
    <x v="1"/>
    <x v="3"/>
    <x v="2"/>
    <s v="Putri Siregar"/>
    <n v="105000000"/>
    <n v="101954247"/>
    <n v="62826525"/>
    <n v="39127722"/>
  </r>
  <r>
    <d v="2026-02-22T00:00:00"/>
    <x v="1"/>
    <x v="3"/>
    <x v="3"/>
    <s v="Putri Siregar"/>
    <n v="138000000"/>
    <n v="132810433"/>
    <n v="73522271"/>
    <n v="59288162"/>
  </r>
  <r>
    <d v="2026-02-09T00:00:00"/>
    <x v="1"/>
    <x v="4"/>
    <x v="0"/>
    <s v="Ni Made Ayu"/>
    <n v="92000000"/>
    <n v="98408129"/>
    <n v="66707089"/>
    <n v="31701040"/>
  </r>
  <r>
    <d v="2026-02-02T00:00:00"/>
    <x v="1"/>
    <x v="4"/>
    <x v="1"/>
    <s v="Ni Made Ayu"/>
    <n v="83000000"/>
    <n v="89351628"/>
    <n v="53158797"/>
    <n v="36192831"/>
  </r>
  <r>
    <d v="2026-02-26T00:00:00"/>
    <x v="1"/>
    <x v="4"/>
    <x v="2"/>
    <s v="Ni Made Ayu"/>
    <n v="110000000"/>
    <n v="110841430"/>
    <n v="75145020"/>
    <n v="35696410"/>
  </r>
  <r>
    <d v="2026-02-04T00:00:00"/>
    <x v="1"/>
    <x v="4"/>
    <x v="3"/>
    <s v="Ni Made Ayu"/>
    <n v="119000000"/>
    <n v="143607657"/>
    <n v="82532791"/>
    <n v="61074866"/>
  </r>
  <r>
    <d v="2026-02-02T00:00:00"/>
    <x v="1"/>
    <x v="4"/>
    <x v="0"/>
    <s v="I Gede Suardana"/>
    <n v="160000000"/>
    <n v="161200757"/>
    <n v="99555918"/>
    <n v="61644839"/>
  </r>
  <r>
    <d v="2026-02-26T00:00:00"/>
    <x v="1"/>
    <x v="4"/>
    <x v="1"/>
    <s v="I Gede Suardana"/>
    <n v="138000000"/>
    <n v="153918103"/>
    <n v="103469013"/>
    <n v="50449090"/>
  </r>
  <r>
    <d v="2026-02-24T00:00:00"/>
    <x v="1"/>
    <x v="4"/>
    <x v="2"/>
    <s v="I Gede Suardana"/>
    <n v="155000000"/>
    <n v="140232391"/>
    <n v="84990457"/>
    <n v="55241934"/>
  </r>
  <r>
    <d v="2026-02-22T00:00:00"/>
    <x v="1"/>
    <x v="4"/>
    <x v="3"/>
    <s v="I Gede Suardana"/>
    <n v="112000000"/>
    <n v="121851164"/>
    <n v="77526629"/>
    <n v="44324535"/>
  </r>
  <r>
    <d v="2026-02-04T00:00:00"/>
    <x v="1"/>
    <x v="4"/>
    <x v="0"/>
    <s v="Ketut Wardana"/>
    <n v="108000000"/>
    <n v="112110769"/>
    <n v="71380486"/>
    <n v="40730283"/>
  </r>
  <r>
    <d v="2026-02-11T00:00:00"/>
    <x v="1"/>
    <x v="4"/>
    <x v="1"/>
    <s v="Ketut Wardana"/>
    <n v="121000000"/>
    <n v="135495753"/>
    <n v="84288333"/>
    <n v="51207420"/>
  </r>
  <r>
    <d v="2026-02-07T00:00:00"/>
    <x v="1"/>
    <x v="4"/>
    <x v="2"/>
    <s v="Ketut Wardana"/>
    <n v="123000000"/>
    <n v="136028117"/>
    <n v="81520138"/>
    <n v="54507979"/>
  </r>
  <r>
    <d v="2026-02-24T00:00:00"/>
    <x v="1"/>
    <x v="4"/>
    <x v="3"/>
    <s v="Ketut Wardana"/>
    <n v="92000000"/>
    <n v="99789770"/>
    <n v="58788496"/>
    <n v="41001274"/>
  </r>
  <r>
    <d v="2026-03-18T00:00:00"/>
    <x v="2"/>
    <x v="0"/>
    <x v="0"/>
    <s v="Budi Santoso"/>
    <n v="70000000"/>
    <n v="66546635"/>
    <n v="38418952"/>
    <n v="28127683"/>
  </r>
  <r>
    <d v="2026-03-26T00:00:00"/>
    <x v="2"/>
    <x v="0"/>
    <x v="1"/>
    <s v="Budi Santoso"/>
    <n v="144000000"/>
    <n v="155644484"/>
    <n v="92124787"/>
    <n v="63519697"/>
  </r>
  <r>
    <d v="2026-03-15T00:00:00"/>
    <x v="2"/>
    <x v="0"/>
    <x v="2"/>
    <s v="Budi Santoso"/>
    <n v="126000000"/>
    <n v="139925483"/>
    <n v="86257430"/>
    <n v="53668053"/>
  </r>
  <r>
    <d v="2026-03-26T00:00:00"/>
    <x v="2"/>
    <x v="0"/>
    <x v="3"/>
    <s v="Budi Santoso"/>
    <n v="91000000"/>
    <n v="100400829"/>
    <n v="58924466"/>
    <n v="41476363"/>
  </r>
  <r>
    <d v="2026-03-22T00:00:00"/>
    <x v="2"/>
    <x v="0"/>
    <x v="0"/>
    <s v="Reza Pratama"/>
    <n v="151000000"/>
    <n v="164028604"/>
    <n v="92207094"/>
    <n v="71821510"/>
  </r>
  <r>
    <d v="2026-03-25T00:00:00"/>
    <x v="2"/>
    <x v="0"/>
    <x v="1"/>
    <s v="Reza Pratama"/>
    <n v="100000000"/>
    <n v="110930213"/>
    <n v="64251143"/>
    <n v="46679070"/>
  </r>
  <r>
    <d v="2026-03-07T00:00:00"/>
    <x v="2"/>
    <x v="0"/>
    <x v="2"/>
    <s v="Reza Pratama"/>
    <n v="88000000"/>
    <n v="73084256"/>
    <n v="42522578"/>
    <n v="30561678"/>
  </r>
  <r>
    <d v="2026-03-16T00:00:00"/>
    <x v="2"/>
    <x v="0"/>
    <x v="3"/>
    <s v="Reza Pratama"/>
    <n v="148000000"/>
    <n v="175437306"/>
    <n v="98151500"/>
    <n v="77285806"/>
  </r>
  <r>
    <d v="2026-03-14T00:00:00"/>
    <x v="2"/>
    <x v="0"/>
    <x v="0"/>
    <s v="Dewi Lestari"/>
    <n v="150000000"/>
    <n v="160130773"/>
    <n v="103025732"/>
    <n v="57105041"/>
  </r>
  <r>
    <d v="2026-03-13T00:00:00"/>
    <x v="2"/>
    <x v="0"/>
    <x v="1"/>
    <s v="Dewi Lestari"/>
    <n v="133000000"/>
    <n v="131916147"/>
    <n v="75084596"/>
    <n v="56831551"/>
  </r>
  <r>
    <d v="2026-03-23T00:00:00"/>
    <x v="2"/>
    <x v="0"/>
    <x v="2"/>
    <s v="Dewi Lestari"/>
    <n v="70000000"/>
    <n v="84269060"/>
    <n v="55774090"/>
    <n v="28494970"/>
  </r>
  <r>
    <d v="2026-03-04T00:00:00"/>
    <x v="2"/>
    <x v="0"/>
    <x v="3"/>
    <s v="Dewi Lestari"/>
    <n v="124000000"/>
    <n v="113348609"/>
    <n v="74190550"/>
    <n v="39158059"/>
  </r>
  <r>
    <d v="2026-03-23T00:00:00"/>
    <x v="2"/>
    <x v="1"/>
    <x v="0"/>
    <s v="Siti Rahmawati"/>
    <n v="136000000"/>
    <n v="138686877"/>
    <n v="86327415"/>
    <n v="52359462"/>
  </r>
  <r>
    <d v="2026-03-28T00:00:00"/>
    <x v="2"/>
    <x v="1"/>
    <x v="1"/>
    <s v="Siti Rahmawati"/>
    <n v="85000000"/>
    <n v="86383679"/>
    <n v="56510834"/>
    <n v="29872845"/>
  </r>
  <r>
    <d v="2026-03-22T00:00:00"/>
    <x v="2"/>
    <x v="1"/>
    <x v="2"/>
    <s v="Siti Rahmawati"/>
    <n v="137000000"/>
    <n v="170536744"/>
    <n v="106996254"/>
    <n v="63540490"/>
  </r>
  <r>
    <d v="2026-03-25T00:00:00"/>
    <x v="2"/>
    <x v="1"/>
    <x v="3"/>
    <s v="Siti Rahmawati"/>
    <n v="126000000"/>
    <n v="136513502"/>
    <n v="87847205"/>
    <n v="48666297"/>
  </r>
  <r>
    <d v="2026-03-17T00:00:00"/>
    <x v="2"/>
    <x v="1"/>
    <x v="0"/>
    <s v="Bambang Pamungkas"/>
    <n v="124000000"/>
    <n v="145965948"/>
    <n v="90677455"/>
    <n v="55288493"/>
  </r>
  <r>
    <d v="2026-03-06T00:00:00"/>
    <x v="2"/>
    <x v="1"/>
    <x v="1"/>
    <s v="Bambang Pamungkas"/>
    <n v="130000000"/>
    <n v="131758899"/>
    <n v="85344321"/>
    <n v="46414578"/>
  </r>
  <r>
    <d v="2026-03-27T00:00:00"/>
    <x v="2"/>
    <x v="1"/>
    <x v="2"/>
    <s v="Bambang Pamungkas"/>
    <n v="151000000"/>
    <n v="141825826"/>
    <n v="92342473"/>
    <n v="49483353"/>
  </r>
  <r>
    <d v="2026-03-16T00:00:00"/>
    <x v="2"/>
    <x v="1"/>
    <x v="3"/>
    <s v="Bambang Pamungkas"/>
    <n v="150000000"/>
    <n v="138431358"/>
    <n v="84053227"/>
    <n v="54378131"/>
  </r>
  <r>
    <d v="2026-03-23T00:00:00"/>
    <x v="2"/>
    <x v="1"/>
    <x v="0"/>
    <s v="Eka Putri"/>
    <n v="106000000"/>
    <n v="97608217"/>
    <n v="57946111"/>
    <n v="39662106"/>
  </r>
  <r>
    <d v="2026-03-18T00:00:00"/>
    <x v="2"/>
    <x v="1"/>
    <x v="1"/>
    <s v="Eka Putri"/>
    <n v="80000000"/>
    <n v="70360067"/>
    <n v="40813341"/>
    <n v="29546726"/>
  </r>
  <r>
    <d v="2026-03-23T00:00:00"/>
    <x v="2"/>
    <x v="1"/>
    <x v="2"/>
    <s v="Eka Putri"/>
    <n v="89000000"/>
    <n v="100014660"/>
    <n v="55843160"/>
    <n v="44171500"/>
  </r>
  <r>
    <d v="2026-03-14T00:00:00"/>
    <x v="2"/>
    <x v="1"/>
    <x v="3"/>
    <s v="Eka Putri"/>
    <n v="112000000"/>
    <n v="117972152"/>
    <n v="71261155"/>
    <n v="46710997"/>
  </r>
  <r>
    <d v="2026-03-07T00:00:00"/>
    <x v="2"/>
    <x v="2"/>
    <x v="0"/>
    <s v="Ahmad Hidayat"/>
    <n v="123000000"/>
    <n v="121459428"/>
    <n v="78957549"/>
    <n v="42501879"/>
  </r>
  <r>
    <d v="2026-03-23T00:00:00"/>
    <x v="2"/>
    <x v="2"/>
    <x v="1"/>
    <s v="Ahmad Hidayat"/>
    <n v="72000000"/>
    <n v="85564423"/>
    <n v="55576428"/>
    <n v="29987995"/>
  </r>
  <r>
    <d v="2026-03-13T00:00:00"/>
    <x v="2"/>
    <x v="2"/>
    <x v="2"/>
    <s v="Ahmad Hidayat"/>
    <n v="131000000"/>
    <n v="107752126"/>
    <n v="64191027"/>
    <n v="43561099"/>
  </r>
  <r>
    <d v="2026-03-25T00:00:00"/>
    <x v="2"/>
    <x v="2"/>
    <x v="3"/>
    <s v="Ahmad Hidayat"/>
    <n v="119000000"/>
    <n v="141250931"/>
    <n v="95195492"/>
    <n v="46055439"/>
  </r>
  <r>
    <d v="2026-03-14T00:00:00"/>
    <x v="2"/>
    <x v="2"/>
    <x v="0"/>
    <s v="Rina Marlina"/>
    <n v="138000000"/>
    <n v="157517579"/>
    <n v="97817975"/>
    <n v="59699604"/>
  </r>
  <r>
    <d v="2026-03-20T00:00:00"/>
    <x v="2"/>
    <x v="2"/>
    <x v="1"/>
    <s v="Rina Marlina"/>
    <n v="98000000"/>
    <n v="100933990"/>
    <n v="59094993"/>
    <n v="41838997"/>
  </r>
  <r>
    <d v="2026-03-16T00:00:00"/>
    <x v="2"/>
    <x v="2"/>
    <x v="2"/>
    <s v="Rina Marlina"/>
    <n v="73000000"/>
    <n v="72066227"/>
    <n v="45902840"/>
    <n v="26163387"/>
  </r>
  <r>
    <d v="2026-03-26T00:00:00"/>
    <x v="2"/>
    <x v="2"/>
    <x v="3"/>
    <s v="Rina Marlina"/>
    <n v="121000000"/>
    <n v="136899157"/>
    <n v="90252923"/>
    <n v="46646234"/>
  </r>
  <r>
    <d v="2026-03-05T00:00:00"/>
    <x v="2"/>
    <x v="2"/>
    <x v="0"/>
    <s v="Dian Sastro"/>
    <n v="149000000"/>
    <n v="156401300"/>
    <n v="104460545"/>
    <n v="51940755"/>
  </r>
  <r>
    <d v="2026-03-19T00:00:00"/>
    <x v="2"/>
    <x v="2"/>
    <x v="1"/>
    <s v="Dian Sastro"/>
    <n v="142000000"/>
    <n v="156922765"/>
    <n v="88020045"/>
    <n v="68902720"/>
  </r>
  <r>
    <d v="2026-03-14T00:00:00"/>
    <x v="2"/>
    <x v="2"/>
    <x v="2"/>
    <s v="Dian Sastro"/>
    <n v="87000000"/>
    <n v="103768909"/>
    <n v="59524416"/>
    <n v="44244493"/>
  </r>
  <r>
    <d v="2026-03-09T00:00:00"/>
    <x v="2"/>
    <x v="2"/>
    <x v="3"/>
    <s v="Dian Sastro"/>
    <n v="118000000"/>
    <n v="113369874"/>
    <n v="69054827"/>
    <n v="44315047"/>
  </r>
  <r>
    <d v="2026-03-11T00:00:00"/>
    <x v="2"/>
    <x v="3"/>
    <x v="0"/>
    <s v="Hendra Wijaya"/>
    <n v="118000000"/>
    <n v="110878740"/>
    <n v="74694187"/>
    <n v="36184553"/>
  </r>
  <r>
    <d v="2026-03-14T00:00:00"/>
    <x v="2"/>
    <x v="3"/>
    <x v="1"/>
    <s v="Hendra Wijaya"/>
    <n v="102000000"/>
    <n v="120259192"/>
    <n v="73495189"/>
    <n v="46764003"/>
  </r>
  <r>
    <d v="2026-03-24T00:00:00"/>
    <x v="2"/>
    <x v="3"/>
    <x v="2"/>
    <s v="Hendra Wijaya"/>
    <n v="139000000"/>
    <n v="117093156"/>
    <n v="78891462"/>
    <n v="38201694"/>
  </r>
  <r>
    <d v="2026-03-08T00:00:00"/>
    <x v="2"/>
    <x v="3"/>
    <x v="3"/>
    <s v="Hendra Wijaya"/>
    <n v="153000000"/>
    <n v="129974402"/>
    <n v="87660862"/>
    <n v="42313540"/>
  </r>
  <r>
    <d v="2026-03-02T00:00:00"/>
    <x v="2"/>
    <x v="3"/>
    <x v="0"/>
    <s v="Rudi Hartono"/>
    <n v="73000000"/>
    <n v="89668312"/>
    <n v="51641495"/>
    <n v="38026817"/>
  </r>
  <r>
    <d v="2026-03-01T00:00:00"/>
    <x v="2"/>
    <x v="3"/>
    <x v="1"/>
    <s v="Rudi Hartono"/>
    <n v="149000000"/>
    <n v="131943136"/>
    <n v="74733743"/>
    <n v="57209393"/>
  </r>
  <r>
    <d v="2026-03-22T00:00:00"/>
    <x v="2"/>
    <x v="3"/>
    <x v="2"/>
    <s v="Rudi Hartono"/>
    <n v="84000000"/>
    <n v="89250581"/>
    <n v="51616769"/>
    <n v="37633812"/>
  </r>
  <r>
    <d v="2026-03-23T00:00:00"/>
    <x v="2"/>
    <x v="3"/>
    <x v="3"/>
    <s v="Rudi Hartono"/>
    <n v="102000000"/>
    <n v="117276150"/>
    <n v="67059978"/>
    <n v="50216172"/>
  </r>
  <r>
    <d v="2026-03-20T00:00:00"/>
    <x v="2"/>
    <x v="3"/>
    <x v="0"/>
    <s v="Putri Siregar"/>
    <n v="84000000"/>
    <n v="96973842"/>
    <n v="55400143"/>
    <n v="41573699"/>
  </r>
  <r>
    <d v="2026-03-10T00:00:00"/>
    <x v="2"/>
    <x v="3"/>
    <x v="1"/>
    <s v="Putri Siregar"/>
    <n v="83000000"/>
    <n v="88713258"/>
    <n v="59504890"/>
    <n v="29208368"/>
  </r>
  <r>
    <d v="2026-03-19T00:00:00"/>
    <x v="2"/>
    <x v="3"/>
    <x v="2"/>
    <s v="Putri Siregar"/>
    <n v="156000000"/>
    <n v="188830394"/>
    <n v="113069733"/>
    <n v="75760661"/>
  </r>
  <r>
    <d v="2026-03-23T00:00:00"/>
    <x v="2"/>
    <x v="3"/>
    <x v="3"/>
    <s v="Putri Siregar"/>
    <n v="95000000"/>
    <n v="81004456"/>
    <n v="51825020"/>
    <n v="29179436"/>
  </r>
  <r>
    <d v="2026-03-21T00:00:00"/>
    <x v="2"/>
    <x v="4"/>
    <x v="0"/>
    <s v="Ni Made Ayu"/>
    <n v="101000000"/>
    <n v="87245573"/>
    <n v="56746485"/>
    <n v="30499088"/>
  </r>
  <r>
    <d v="2026-03-28T00:00:00"/>
    <x v="2"/>
    <x v="4"/>
    <x v="1"/>
    <s v="Ni Made Ayu"/>
    <n v="157000000"/>
    <n v="169273788"/>
    <n v="95764471"/>
    <n v="73509317"/>
  </r>
  <r>
    <d v="2026-03-19T00:00:00"/>
    <x v="2"/>
    <x v="4"/>
    <x v="2"/>
    <s v="Ni Made Ayu"/>
    <n v="75000000"/>
    <n v="72697321"/>
    <n v="44031977"/>
    <n v="28665344"/>
  </r>
  <r>
    <d v="2026-03-12T00:00:00"/>
    <x v="2"/>
    <x v="4"/>
    <x v="3"/>
    <s v="Ni Made Ayu"/>
    <n v="78000000"/>
    <n v="80929924"/>
    <n v="48101513"/>
    <n v="32828411"/>
  </r>
  <r>
    <d v="2026-03-28T00:00:00"/>
    <x v="2"/>
    <x v="4"/>
    <x v="0"/>
    <s v="I Gede Suardana"/>
    <n v="123000000"/>
    <n v="144353082"/>
    <n v="81374727"/>
    <n v="62978355"/>
  </r>
  <r>
    <d v="2026-03-12T00:00:00"/>
    <x v="2"/>
    <x v="4"/>
    <x v="1"/>
    <s v="I Gede Suardana"/>
    <n v="151000000"/>
    <n v="181709965"/>
    <n v="110800579"/>
    <n v="70909386"/>
  </r>
  <r>
    <d v="2026-03-05T00:00:00"/>
    <x v="2"/>
    <x v="4"/>
    <x v="2"/>
    <s v="I Gede Suardana"/>
    <n v="125000000"/>
    <n v="111967361"/>
    <n v="69176467"/>
    <n v="42790894"/>
  </r>
  <r>
    <d v="2026-03-21T00:00:00"/>
    <x v="2"/>
    <x v="4"/>
    <x v="3"/>
    <s v="I Gede Suardana"/>
    <n v="104000000"/>
    <n v="112823600"/>
    <n v="75541074"/>
    <n v="37282526"/>
  </r>
  <r>
    <d v="2026-03-25T00:00:00"/>
    <x v="2"/>
    <x v="4"/>
    <x v="0"/>
    <s v="Ketut Wardana"/>
    <n v="131000000"/>
    <n v="133606339"/>
    <n v="87825525"/>
    <n v="45780814"/>
  </r>
  <r>
    <d v="2026-03-19T00:00:00"/>
    <x v="2"/>
    <x v="4"/>
    <x v="1"/>
    <s v="Ketut Wardana"/>
    <n v="104000000"/>
    <n v="99693460"/>
    <n v="58013057"/>
    <n v="41680403"/>
  </r>
  <r>
    <d v="2026-03-03T00:00:00"/>
    <x v="2"/>
    <x v="4"/>
    <x v="2"/>
    <s v="Ketut Wardana"/>
    <n v="105000000"/>
    <n v="125905647"/>
    <n v="73239597"/>
    <n v="52666050"/>
  </r>
  <r>
    <d v="2026-03-15T00:00:00"/>
    <x v="2"/>
    <x v="4"/>
    <x v="3"/>
    <s v="Ketut Wardana"/>
    <n v="142000000"/>
    <n v="153706853"/>
    <n v="92111692"/>
    <n v="61595161"/>
  </r>
  <r>
    <d v="2026-03-21T00:00:00"/>
    <x v="2"/>
    <x v="5"/>
    <x v="2"/>
    <s v="I Gede Suardana"/>
    <n v="103000000"/>
    <n v="112000000"/>
    <n v="83212987"/>
    <n v="292129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57F2A-1700-46E6-86E4-9E215D10C1D0}" name="PivotTable1" cacheId="7" applyNumberFormats="0" applyBorderFormats="0" applyFontFormats="0" applyPatternFormats="0" applyAlignmentFormats="0" applyWidthHeightFormats="1" dataCaption="Values" missingCaption="0" updatedVersion="8" minRefreshableVersion="3" itemPrintTitles="1" createdVersion="8" indent="0" outline="1" outlineData="1" multipleFieldFilters="0" chartFormat="1">
  <location ref="A4:E9" firstHeaderRow="0" firstDataRow="1" firstDataCol="1" rowPageCount="2" colPageCount="1"/>
  <pivotFields count="9">
    <pivotField numFmtId="164" showAll="0"/>
    <pivotField axis="axisPage" showAll="0">
      <items count="4">
        <item x="1"/>
        <item x="0"/>
        <item x="2"/>
        <item t="default"/>
      </items>
    </pivotField>
    <pivotField axis="axisPage" showAll="0">
      <items count="7">
        <item x="4"/>
        <item x="2"/>
        <item x="0"/>
        <item x="3"/>
        <item x="5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2" hier="-1"/>
  </pageFields>
  <dataFields count="4">
    <dataField name="Sum of Actual_Revenue" fld="6" baseField="0" baseItem="0" numFmtId="165"/>
    <dataField name="Sum of Gross_Profit" fld="8" baseField="0" baseItem="0" numFmtId="165"/>
    <dataField name="Sum of Target" fld="5" baseField="0" baseItem="0" numFmtId="165"/>
    <dataField name="Sum of COGS" fld="7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C97EE-C3C8-472D-B2E9-02FC65F14905}" name="tblSalesData" displayName="tblSalesData" ref="A1:I182" totalsRowShown="0" headerRowDxfId="14">
  <autoFilter ref="A1:I182" xr:uid="{2C4C97EE-C3C8-472D-B2E9-02FC65F14905}"/>
  <tableColumns count="9">
    <tableColumn id="1" xr3:uid="{A5C1F55D-5A62-40C4-975B-A216E11BA196}" name="Date" dataDxfId="13"/>
    <tableColumn id="2" xr3:uid="{1757FC4E-D0A8-45ED-9E06-7BF0E6058B68}" name="Month_Year" dataDxfId="12"/>
    <tableColumn id="3" xr3:uid="{7D59C554-D819-4C4B-85E3-15E5F2239F6E}" name="Branch"/>
    <tableColumn id="4" xr3:uid="{B0BE76F1-3221-462A-AB4C-153AEDC7674D}" name="Department"/>
    <tableColumn id="5" xr3:uid="{E9D2F96C-9762-46FB-A6A8-7A895FDAFE5B}" name="Sales_Rep"/>
    <tableColumn id="6" xr3:uid="{24370D79-3398-449F-A2B8-0656F5A2D81C}" name="Target" dataDxfId="11"/>
    <tableColumn id="7" xr3:uid="{F8CF158D-0E7D-4FAB-A6A4-F9F64F76FC6D}" name="Actual_Revenue" dataDxfId="10"/>
    <tableColumn id="8" xr3:uid="{C14F33F3-F23C-4A4E-9194-5975B1D8F7F2}" name="COGS" dataDxfId="9"/>
    <tableColumn id="9" xr3:uid="{AC7909F5-1659-4A7A-8287-88E346C1C63B}" name="Gross_Profit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6B3E96-2527-4410-B93B-E7B2C4322048}" name="Table1" displayName="Table1" ref="B6:E11" totalsRowShown="0" headerRowDxfId="2" dataDxfId="3">
  <autoFilter ref="B6:E11" xr:uid="{276B3E96-2527-4410-B93B-E7B2C4322048}"/>
  <tableColumns count="4">
    <tableColumn id="1" xr3:uid="{C144C4E2-464A-4B2B-828C-B9FCBF796E30}" name="Branch" dataDxfId="7"/>
    <tableColumn id="2" xr3:uid="{CCB1E4C2-7268-46EA-A6CB-779AD684AD6E}" name="Manager Name" dataDxfId="6"/>
    <tableColumn id="3" xr3:uid="{0EEF62AB-4EA8-4F4B-B682-8787AF6AD0EA}" name="Email Address" dataDxfId="5"/>
    <tableColumn id="4" xr3:uid="{22C5B5F2-3818-4A61-AE3D-433A5A4E8CF5}" name="CC Addres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951536-3EE4-44C1-B871-72839CD41FA0}" name="Table2" displayName="Table2" ref="G6:H12" totalsRowShown="0" headerRowDxfId="0">
  <autoFilter ref="G6:H12" xr:uid="{3E951536-3EE4-44C1-B871-72839CD41FA0}"/>
  <tableColumns count="2">
    <tableColumn id="1" xr3:uid="{70DE8796-8170-4278-8E64-E38AEB8685B4}" name="Master Branches"/>
    <tableColumn id="2" xr3:uid="{0A63CC84-F59C-45FC-8C89-018777E0B249}" name="Master Month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63E7-EF48-4FF3-8266-1D27606A230B}">
  <dimension ref="B1:M5"/>
  <sheetViews>
    <sheetView showGridLines="0" tabSelected="1" workbookViewId="0">
      <selection activeCell="B8" sqref="B8"/>
    </sheetView>
  </sheetViews>
  <sheetFormatPr defaultRowHeight="15"/>
  <cols>
    <col min="3" max="3" width="14.42578125" customWidth="1"/>
  </cols>
  <sheetData>
    <row r="1" spans="2:13">
      <c r="B1" s="12" t="s">
        <v>63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2:13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2:13">
      <c r="B4" t="s">
        <v>64</v>
      </c>
      <c r="C4" t="s">
        <v>10</v>
      </c>
      <c r="F4" t="str">
        <f>"ACTIVE VIEW: " &amp; UPPER(C4) &amp; " | " &amp; UPPER(C5)</f>
        <v>ACTIVE VIEW: JAKARTA | ALL MONTHS</v>
      </c>
    </row>
    <row r="5" spans="2:13">
      <c r="B5" t="s">
        <v>65</v>
      </c>
      <c r="C5" t="s">
        <v>61</v>
      </c>
      <c r="F5" t="s">
        <v>66</v>
      </c>
    </row>
  </sheetData>
  <mergeCells count="1">
    <mergeCell ref="B1:M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66A8FC3-A752-461E-A974-C59C08732F0B}">
          <x14:formula1>
            <xm:f>Settings_Config!$G$7:$G$12</xm:f>
          </x14:formula1>
          <xm:sqref>C4</xm:sqref>
        </x14:dataValidation>
        <x14:dataValidation type="list" allowBlank="1" showInputMessage="1" showErrorMessage="1" xr:uid="{05B1F28A-3910-4167-89EE-2E7AAA5F4EE2}">
          <x14:formula1>
            <xm:f>Settings_Config!$H$7:$H$10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D62A-EB15-46F5-84AF-A916883E2C7B}">
  <dimension ref="A1:I182"/>
  <sheetViews>
    <sheetView topLeftCell="A113" workbookViewId="0">
      <selection activeCell="C6" sqref="C6"/>
    </sheetView>
  </sheetViews>
  <sheetFormatPr defaultRowHeight="15"/>
  <cols>
    <col min="1" max="1" width="11" customWidth="1"/>
    <col min="2" max="2" width="17.140625" customWidth="1"/>
    <col min="3" max="3" width="12.140625" customWidth="1"/>
    <col min="4" max="4" width="16.28515625" customWidth="1"/>
    <col min="5" max="5" width="20.28515625" customWidth="1"/>
    <col min="6" max="6" width="16" customWidth="1"/>
    <col min="7" max="7" width="20.5703125" customWidth="1"/>
    <col min="8" max="8" width="15.7109375" customWidth="1"/>
    <col min="9" max="9" width="20.140625" customWidth="1"/>
  </cols>
  <sheetData>
    <row r="1" spans="1: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46043</v>
      </c>
      <c r="B2" s="4" t="s">
        <v>9</v>
      </c>
      <c r="C2" t="s">
        <v>10</v>
      </c>
      <c r="D2" t="s">
        <v>11</v>
      </c>
      <c r="E2" t="s">
        <v>12</v>
      </c>
      <c r="F2" s="5">
        <v>84000000</v>
      </c>
      <c r="G2" s="5">
        <v>69783388</v>
      </c>
      <c r="H2" s="5">
        <v>40875885</v>
      </c>
      <c r="I2" s="5">
        <v>28907503</v>
      </c>
    </row>
    <row r="3" spans="1:9">
      <c r="A3" s="3">
        <v>46030</v>
      </c>
      <c r="B3" s="4" t="s">
        <v>9</v>
      </c>
      <c r="C3" t="s">
        <v>10</v>
      </c>
      <c r="D3" t="s">
        <v>13</v>
      </c>
      <c r="E3" t="s">
        <v>12</v>
      </c>
      <c r="F3" s="5">
        <v>87000000</v>
      </c>
      <c r="G3" s="5">
        <v>98891388</v>
      </c>
      <c r="H3" s="5">
        <v>63089831</v>
      </c>
      <c r="I3" s="5">
        <v>35801557</v>
      </c>
    </row>
    <row r="4" spans="1:9">
      <c r="A4" s="3">
        <v>46040</v>
      </c>
      <c r="B4" s="4" t="s">
        <v>9</v>
      </c>
      <c r="C4" t="s">
        <v>10</v>
      </c>
      <c r="D4" t="s">
        <v>14</v>
      </c>
      <c r="E4" t="s">
        <v>12</v>
      </c>
      <c r="F4" s="5">
        <v>81000000</v>
      </c>
      <c r="G4" s="5">
        <v>86986854</v>
      </c>
      <c r="H4" s="5">
        <v>48202177</v>
      </c>
      <c r="I4" s="5">
        <v>38784677</v>
      </c>
    </row>
    <row r="5" spans="1:9">
      <c r="A5" s="3">
        <v>46025</v>
      </c>
      <c r="B5" s="4" t="s">
        <v>9</v>
      </c>
      <c r="C5" t="s">
        <v>10</v>
      </c>
      <c r="D5" t="s">
        <v>15</v>
      </c>
      <c r="E5" t="s">
        <v>12</v>
      </c>
      <c r="F5" s="5">
        <v>97000000</v>
      </c>
      <c r="G5" s="5">
        <v>89244285</v>
      </c>
      <c r="H5" s="5">
        <v>56068831</v>
      </c>
      <c r="I5" s="5">
        <v>33175454</v>
      </c>
    </row>
    <row r="6" spans="1:9">
      <c r="A6" s="3">
        <v>46040</v>
      </c>
      <c r="B6" s="4" t="s">
        <v>9</v>
      </c>
      <c r="C6" t="s">
        <v>10</v>
      </c>
      <c r="D6" t="s">
        <v>11</v>
      </c>
      <c r="E6" t="s">
        <v>16</v>
      </c>
      <c r="F6" s="5">
        <v>95000000</v>
      </c>
      <c r="G6" s="5">
        <v>107149401</v>
      </c>
      <c r="H6" s="5">
        <v>68701222</v>
      </c>
      <c r="I6" s="5">
        <v>38448179</v>
      </c>
    </row>
    <row r="7" spans="1:9">
      <c r="A7" s="3">
        <v>46036</v>
      </c>
      <c r="B7" s="4" t="s">
        <v>9</v>
      </c>
      <c r="C7" t="s">
        <v>10</v>
      </c>
      <c r="D7" t="s">
        <v>13</v>
      </c>
      <c r="E7" t="s">
        <v>16</v>
      </c>
      <c r="F7" s="5">
        <v>98000000</v>
      </c>
      <c r="G7" s="5">
        <v>99289669</v>
      </c>
      <c r="H7" s="5">
        <v>58200108</v>
      </c>
      <c r="I7" s="5">
        <v>41089561</v>
      </c>
    </row>
    <row r="8" spans="1:9">
      <c r="A8" s="3">
        <v>46050</v>
      </c>
      <c r="B8" s="4" t="s">
        <v>9</v>
      </c>
      <c r="C8" t="s">
        <v>10</v>
      </c>
      <c r="D8" t="s">
        <v>14</v>
      </c>
      <c r="E8" t="s">
        <v>16</v>
      </c>
      <c r="F8" s="5">
        <v>70000000</v>
      </c>
      <c r="G8" s="5">
        <v>80240101</v>
      </c>
      <c r="H8" s="5">
        <v>45797495</v>
      </c>
      <c r="I8" s="5">
        <v>34442606</v>
      </c>
    </row>
    <row r="9" spans="1:9">
      <c r="A9" s="3">
        <v>46036</v>
      </c>
      <c r="B9" s="4" t="s">
        <v>9</v>
      </c>
      <c r="C9" t="s">
        <v>10</v>
      </c>
      <c r="D9" t="s">
        <v>15</v>
      </c>
      <c r="E9" t="s">
        <v>16</v>
      </c>
      <c r="F9" s="5">
        <v>113000000</v>
      </c>
      <c r="G9" s="5">
        <v>106161768</v>
      </c>
      <c r="H9" s="5">
        <v>61360524</v>
      </c>
      <c r="I9" s="5">
        <v>44801244</v>
      </c>
    </row>
    <row r="10" spans="1:9">
      <c r="A10" s="3">
        <v>46047</v>
      </c>
      <c r="B10" s="4" t="s">
        <v>9</v>
      </c>
      <c r="C10" t="s">
        <v>10</v>
      </c>
      <c r="D10" t="s">
        <v>11</v>
      </c>
      <c r="E10" t="s">
        <v>17</v>
      </c>
      <c r="F10" s="5">
        <v>113000000</v>
      </c>
      <c r="G10" s="5">
        <v>97626397</v>
      </c>
      <c r="H10" s="5">
        <v>58516339</v>
      </c>
      <c r="I10" s="5">
        <v>39110058</v>
      </c>
    </row>
    <row r="11" spans="1:9">
      <c r="A11" s="3">
        <v>46034</v>
      </c>
      <c r="B11" s="4" t="s">
        <v>9</v>
      </c>
      <c r="C11" t="s">
        <v>10</v>
      </c>
      <c r="D11" t="s">
        <v>13</v>
      </c>
      <c r="E11" t="s">
        <v>17</v>
      </c>
      <c r="F11" s="5">
        <v>114000000</v>
      </c>
      <c r="G11" s="5">
        <v>123074650</v>
      </c>
      <c r="H11" s="5">
        <v>80604871</v>
      </c>
      <c r="I11" s="5">
        <v>42469779</v>
      </c>
    </row>
    <row r="12" spans="1:9">
      <c r="A12" s="3">
        <v>46046</v>
      </c>
      <c r="B12" s="4" t="s">
        <v>9</v>
      </c>
      <c r="C12" t="s">
        <v>10</v>
      </c>
      <c r="D12" t="s">
        <v>14</v>
      </c>
      <c r="E12" t="s">
        <v>17</v>
      </c>
      <c r="F12" s="5">
        <v>128000000</v>
      </c>
      <c r="G12" s="5">
        <v>134473994</v>
      </c>
      <c r="H12" s="5">
        <v>90972335</v>
      </c>
      <c r="I12" s="5">
        <v>43501659</v>
      </c>
    </row>
    <row r="13" spans="1:9">
      <c r="A13" s="3">
        <v>46035</v>
      </c>
      <c r="B13" s="4" t="s">
        <v>9</v>
      </c>
      <c r="C13" t="s">
        <v>10</v>
      </c>
      <c r="D13" t="s">
        <v>15</v>
      </c>
      <c r="E13" t="s">
        <v>17</v>
      </c>
      <c r="F13" s="5">
        <v>80000000</v>
      </c>
      <c r="G13" s="5">
        <v>84590197</v>
      </c>
      <c r="H13" s="5">
        <v>55645343</v>
      </c>
      <c r="I13" s="5">
        <v>28944854</v>
      </c>
    </row>
    <row r="14" spans="1:9">
      <c r="A14" s="3">
        <v>46042</v>
      </c>
      <c r="B14" s="4" t="s">
        <v>9</v>
      </c>
      <c r="C14" t="s">
        <v>18</v>
      </c>
      <c r="D14" t="s">
        <v>11</v>
      </c>
      <c r="E14" t="s">
        <v>19</v>
      </c>
      <c r="F14" s="5">
        <v>116000000</v>
      </c>
      <c r="G14" s="5">
        <v>123918325</v>
      </c>
      <c r="H14" s="5">
        <v>79505295</v>
      </c>
      <c r="I14" s="5">
        <v>44413030</v>
      </c>
    </row>
    <row r="15" spans="1:9">
      <c r="A15" s="3">
        <v>46024</v>
      </c>
      <c r="B15" s="4" t="s">
        <v>9</v>
      </c>
      <c r="C15" t="s">
        <v>18</v>
      </c>
      <c r="D15" t="s">
        <v>13</v>
      </c>
      <c r="E15" t="s">
        <v>19</v>
      </c>
      <c r="F15" s="5">
        <v>154000000</v>
      </c>
      <c r="G15" s="5">
        <v>141371423</v>
      </c>
      <c r="H15" s="5">
        <v>83072737</v>
      </c>
      <c r="I15" s="5">
        <v>58298686</v>
      </c>
    </row>
    <row r="16" spans="1:9">
      <c r="A16" s="3">
        <v>46025</v>
      </c>
      <c r="B16" s="4" t="s">
        <v>9</v>
      </c>
      <c r="C16" t="s">
        <v>18</v>
      </c>
      <c r="D16" t="s">
        <v>14</v>
      </c>
      <c r="E16" t="s">
        <v>19</v>
      </c>
      <c r="F16" s="5">
        <v>99000000</v>
      </c>
      <c r="G16" s="5">
        <v>118066209</v>
      </c>
      <c r="H16" s="5">
        <v>70770823</v>
      </c>
      <c r="I16" s="5">
        <v>47295386</v>
      </c>
    </row>
    <row r="17" spans="1:9">
      <c r="A17" s="3">
        <v>46037</v>
      </c>
      <c r="B17" s="4" t="s">
        <v>9</v>
      </c>
      <c r="C17" t="s">
        <v>18</v>
      </c>
      <c r="D17" t="s">
        <v>15</v>
      </c>
      <c r="E17" t="s">
        <v>19</v>
      </c>
      <c r="F17" s="5">
        <v>151000000</v>
      </c>
      <c r="G17" s="5">
        <v>177978790</v>
      </c>
      <c r="H17" s="5">
        <v>101651701</v>
      </c>
      <c r="I17" s="5">
        <v>76327089</v>
      </c>
    </row>
    <row r="18" spans="1:9">
      <c r="A18" s="3">
        <v>46034</v>
      </c>
      <c r="B18" s="4" t="s">
        <v>9</v>
      </c>
      <c r="C18" t="s">
        <v>18</v>
      </c>
      <c r="D18" t="s">
        <v>11</v>
      </c>
      <c r="E18" t="s">
        <v>20</v>
      </c>
      <c r="F18" s="5">
        <v>96000000</v>
      </c>
      <c r="G18" s="5">
        <v>106384831</v>
      </c>
      <c r="H18" s="5">
        <v>68217851</v>
      </c>
      <c r="I18" s="5">
        <v>38166980</v>
      </c>
    </row>
    <row r="19" spans="1:9">
      <c r="A19" s="3">
        <v>46044</v>
      </c>
      <c r="B19" s="4" t="s">
        <v>9</v>
      </c>
      <c r="C19" t="s">
        <v>18</v>
      </c>
      <c r="D19" t="s">
        <v>13</v>
      </c>
      <c r="E19" t="s">
        <v>20</v>
      </c>
      <c r="F19" s="5">
        <v>152000000</v>
      </c>
      <c r="G19" s="5">
        <v>129306868</v>
      </c>
      <c r="H19" s="5">
        <v>81792694</v>
      </c>
      <c r="I19" s="5">
        <v>47514174</v>
      </c>
    </row>
    <row r="20" spans="1:9">
      <c r="A20" s="3">
        <v>46040</v>
      </c>
      <c r="B20" s="4" t="s">
        <v>9</v>
      </c>
      <c r="C20" t="s">
        <v>18</v>
      </c>
      <c r="D20" t="s">
        <v>14</v>
      </c>
      <c r="E20" t="s">
        <v>20</v>
      </c>
      <c r="F20" s="5">
        <v>101000000</v>
      </c>
      <c r="G20" s="5">
        <v>89916570</v>
      </c>
      <c r="H20" s="5">
        <v>53889626</v>
      </c>
      <c r="I20" s="5">
        <v>36026944</v>
      </c>
    </row>
    <row r="21" spans="1:9">
      <c r="A21" s="3">
        <v>46043</v>
      </c>
      <c r="B21" s="4" t="s">
        <v>9</v>
      </c>
      <c r="C21" t="s">
        <v>18</v>
      </c>
      <c r="D21" t="s">
        <v>15</v>
      </c>
      <c r="E21" t="s">
        <v>20</v>
      </c>
      <c r="F21" s="5">
        <v>158000000</v>
      </c>
      <c r="G21" s="5">
        <v>167399165</v>
      </c>
      <c r="H21" s="5">
        <v>106968041</v>
      </c>
      <c r="I21" s="5">
        <v>60431124</v>
      </c>
    </row>
    <row r="22" spans="1:9">
      <c r="A22" s="3">
        <v>46049</v>
      </c>
      <c r="B22" s="4" t="s">
        <v>9</v>
      </c>
      <c r="C22" t="s">
        <v>18</v>
      </c>
      <c r="D22" t="s">
        <v>11</v>
      </c>
      <c r="E22" t="s">
        <v>21</v>
      </c>
      <c r="F22" s="5">
        <v>77000000</v>
      </c>
      <c r="G22" s="5">
        <v>70723781</v>
      </c>
      <c r="H22" s="5">
        <v>39193212</v>
      </c>
      <c r="I22" s="5">
        <v>31530569</v>
      </c>
    </row>
    <row r="23" spans="1:9">
      <c r="A23" s="3">
        <v>46033</v>
      </c>
      <c r="B23" s="4" t="s">
        <v>9</v>
      </c>
      <c r="C23" t="s">
        <v>18</v>
      </c>
      <c r="D23" t="s">
        <v>13</v>
      </c>
      <c r="E23" t="s">
        <v>21</v>
      </c>
      <c r="F23" s="5">
        <v>121000000</v>
      </c>
      <c r="G23" s="5">
        <v>113150557</v>
      </c>
      <c r="H23" s="5">
        <v>65336273</v>
      </c>
      <c r="I23" s="5">
        <v>47814284</v>
      </c>
    </row>
    <row r="24" spans="1:9">
      <c r="A24" s="3">
        <v>46041</v>
      </c>
      <c r="B24" s="4" t="s">
        <v>9</v>
      </c>
      <c r="C24" t="s">
        <v>18</v>
      </c>
      <c r="D24" t="s">
        <v>14</v>
      </c>
      <c r="E24" t="s">
        <v>21</v>
      </c>
      <c r="F24" s="5">
        <v>110000000</v>
      </c>
      <c r="G24" s="5">
        <v>100257235</v>
      </c>
      <c r="H24" s="5">
        <v>61648180</v>
      </c>
      <c r="I24" s="5">
        <v>38609055</v>
      </c>
    </row>
    <row r="25" spans="1:9">
      <c r="A25" s="3">
        <v>46043</v>
      </c>
      <c r="B25" s="4" t="s">
        <v>9</v>
      </c>
      <c r="C25" t="s">
        <v>18</v>
      </c>
      <c r="D25" t="s">
        <v>15</v>
      </c>
      <c r="E25" t="s">
        <v>21</v>
      </c>
      <c r="F25" s="5">
        <v>128000000</v>
      </c>
      <c r="G25" s="5">
        <v>112823652</v>
      </c>
      <c r="H25" s="5">
        <v>64100976</v>
      </c>
      <c r="I25" s="5">
        <v>48722676</v>
      </c>
    </row>
    <row r="26" spans="1:9">
      <c r="A26" s="3">
        <v>46046</v>
      </c>
      <c r="B26" s="4" t="s">
        <v>9</v>
      </c>
      <c r="C26" t="s">
        <v>22</v>
      </c>
      <c r="D26" t="s">
        <v>11</v>
      </c>
      <c r="E26" t="s">
        <v>23</v>
      </c>
      <c r="F26" s="5">
        <v>141000000</v>
      </c>
      <c r="G26" s="5">
        <v>148298193</v>
      </c>
      <c r="H26" s="5">
        <v>95965509</v>
      </c>
      <c r="I26" s="5">
        <v>52332684</v>
      </c>
    </row>
    <row r="27" spans="1:9">
      <c r="A27" s="3">
        <v>46036</v>
      </c>
      <c r="B27" s="4" t="s">
        <v>9</v>
      </c>
      <c r="C27" t="s">
        <v>22</v>
      </c>
      <c r="D27" t="s">
        <v>13</v>
      </c>
      <c r="E27" t="s">
        <v>23</v>
      </c>
      <c r="F27" s="5">
        <v>144000000</v>
      </c>
      <c r="G27" s="5">
        <v>142810879</v>
      </c>
      <c r="H27" s="5">
        <v>82617764</v>
      </c>
      <c r="I27" s="5">
        <v>60193115</v>
      </c>
    </row>
    <row r="28" spans="1:9">
      <c r="A28" s="3">
        <v>46027</v>
      </c>
      <c r="B28" s="4" t="s">
        <v>9</v>
      </c>
      <c r="C28" t="s">
        <v>22</v>
      </c>
      <c r="D28" t="s">
        <v>14</v>
      </c>
      <c r="E28" t="s">
        <v>23</v>
      </c>
      <c r="F28" s="5">
        <v>135000000</v>
      </c>
      <c r="G28" s="5">
        <v>139348594</v>
      </c>
      <c r="H28" s="5">
        <v>90332960</v>
      </c>
      <c r="I28" s="5">
        <v>49015634</v>
      </c>
    </row>
    <row r="29" spans="1:9">
      <c r="A29" s="3">
        <v>46050</v>
      </c>
      <c r="B29" s="4" t="s">
        <v>9</v>
      </c>
      <c r="C29" t="s">
        <v>22</v>
      </c>
      <c r="D29" t="s">
        <v>15</v>
      </c>
      <c r="E29" t="s">
        <v>23</v>
      </c>
      <c r="F29" s="5">
        <v>84000000</v>
      </c>
      <c r="G29" s="5">
        <v>74400628</v>
      </c>
      <c r="H29" s="5">
        <v>42467704</v>
      </c>
      <c r="I29" s="5">
        <v>31932924</v>
      </c>
    </row>
    <row r="30" spans="1:9">
      <c r="A30" s="3">
        <v>46044</v>
      </c>
      <c r="B30" s="4" t="s">
        <v>9</v>
      </c>
      <c r="C30" t="s">
        <v>22</v>
      </c>
      <c r="D30" t="s">
        <v>11</v>
      </c>
      <c r="E30" t="s">
        <v>24</v>
      </c>
      <c r="F30" s="5">
        <v>124000000</v>
      </c>
      <c r="G30" s="5">
        <v>133480529</v>
      </c>
      <c r="H30" s="5">
        <v>80090953</v>
      </c>
      <c r="I30" s="5">
        <v>53389576</v>
      </c>
    </row>
    <row r="31" spans="1:9">
      <c r="A31" s="3">
        <v>46042</v>
      </c>
      <c r="B31" s="4" t="s">
        <v>9</v>
      </c>
      <c r="C31" t="s">
        <v>22</v>
      </c>
      <c r="D31" t="s">
        <v>13</v>
      </c>
      <c r="E31" t="s">
        <v>24</v>
      </c>
      <c r="F31" s="5">
        <v>129000000</v>
      </c>
      <c r="G31" s="5">
        <v>135129972</v>
      </c>
      <c r="H31" s="5">
        <v>91380317</v>
      </c>
      <c r="I31" s="5">
        <v>43749655</v>
      </c>
    </row>
    <row r="32" spans="1:9">
      <c r="A32" s="3">
        <v>46050</v>
      </c>
      <c r="B32" s="4" t="s">
        <v>9</v>
      </c>
      <c r="C32" t="s">
        <v>22</v>
      </c>
      <c r="D32" t="s">
        <v>14</v>
      </c>
      <c r="E32" t="s">
        <v>24</v>
      </c>
      <c r="F32" s="5">
        <v>71000000</v>
      </c>
      <c r="G32" s="5">
        <v>78989052</v>
      </c>
      <c r="H32" s="5">
        <v>44620261</v>
      </c>
      <c r="I32" s="5">
        <v>34368791</v>
      </c>
    </row>
    <row r="33" spans="1:9">
      <c r="A33" s="3">
        <v>46040</v>
      </c>
      <c r="B33" s="4" t="s">
        <v>9</v>
      </c>
      <c r="C33" t="s">
        <v>22</v>
      </c>
      <c r="D33" t="s">
        <v>15</v>
      </c>
      <c r="E33" t="s">
        <v>24</v>
      </c>
      <c r="F33" s="5">
        <v>104000000</v>
      </c>
      <c r="G33" s="5">
        <v>119651735</v>
      </c>
      <c r="H33" s="5">
        <v>71099790</v>
      </c>
      <c r="I33" s="5">
        <v>48551945</v>
      </c>
    </row>
    <row r="34" spans="1:9">
      <c r="A34" s="3">
        <v>46032</v>
      </c>
      <c r="B34" s="4" t="s">
        <v>9</v>
      </c>
      <c r="C34" t="s">
        <v>22</v>
      </c>
      <c r="D34" t="s">
        <v>11</v>
      </c>
      <c r="E34" t="s">
        <v>25</v>
      </c>
      <c r="F34" s="5">
        <v>125000000</v>
      </c>
      <c r="G34" s="5">
        <v>111000979</v>
      </c>
      <c r="H34" s="5">
        <v>61097368</v>
      </c>
      <c r="I34" s="5">
        <v>49903611</v>
      </c>
    </row>
    <row r="35" spans="1:9">
      <c r="A35" s="3">
        <v>46046</v>
      </c>
      <c r="B35" s="4" t="s">
        <v>9</v>
      </c>
      <c r="C35" t="s">
        <v>22</v>
      </c>
      <c r="D35" t="s">
        <v>13</v>
      </c>
      <c r="E35" t="s">
        <v>25</v>
      </c>
      <c r="F35" s="5">
        <v>103000000</v>
      </c>
      <c r="G35" s="5">
        <v>127504923</v>
      </c>
      <c r="H35" s="5">
        <v>82757718</v>
      </c>
      <c r="I35" s="5">
        <v>44747205</v>
      </c>
    </row>
    <row r="36" spans="1:9">
      <c r="A36" s="3">
        <v>46039</v>
      </c>
      <c r="B36" s="4" t="s">
        <v>9</v>
      </c>
      <c r="C36" t="s">
        <v>22</v>
      </c>
      <c r="D36" t="s">
        <v>14</v>
      </c>
      <c r="E36" t="s">
        <v>25</v>
      </c>
      <c r="F36" s="5">
        <v>83000000</v>
      </c>
      <c r="G36" s="5">
        <v>99128807</v>
      </c>
      <c r="H36" s="5">
        <v>58366825</v>
      </c>
      <c r="I36" s="5">
        <v>40761982</v>
      </c>
    </row>
    <row r="37" spans="1:9">
      <c r="A37" s="3">
        <v>46043</v>
      </c>
      <c r="B37" s="4" t="s">
        <v>9</v>
      </c>
      <c r="C37" t="s">
        <v>22</v>
      </c>
      <c r="D37" t="s">
        <v>15</v>
      </c>
      <c r="E37" t="s">
        <v>25</v>
      </c>
      <c r="F37" s="5">
        <v>134000000</v>
      </c>
      <c r="G37" s="5">
        <v>144968863</v>
      </c>
      <c r="H37" s="5">
        <v>82613276</v>
      </c>
      <c r="I37" s="5">
        <v>62355587</v>
      </c>
    </row>
    <row r="38" spans="1:9">
      <c r="A38" s="3">
        <v>46047</v>
      </c>
      <c r="B38" s="4" t="s">
        <v>9</v>
      </c>
      <c r="C38" t="s">
        <v>26</v>
      </c>
      <c r="D38" t="s">
        <v>11</v>
      </c>
      <c r="E38" t="s">
        <v>27</v>
      </c>
      <c r="F38" s="5">
        <v>90000000</v>
      </c>
      <c r="G38" s="5">
        <v>94673968</v>
      </c>
      <c r="H38" s="5">
        <v>61653717</v>
      </c>
      <c r="I38" s="5">
        <v>33020251</v>
      </c>
    </row>
    <row r="39" spans="1:9">
      <c r="A39" s="3">
        <v>46039</v>
      </c>
      <c r="B39" s="4" t="s">
        <v>9</v>
      </c>
      <c r="C39" t="s">
        <v>26</v>
      </c>
      <c r="D39" t="s">
        <v>13</v>
      </c>
      <c r="E39" t="s">
        <v>27</v>
      </c>
      <c r="F39" s="5">
        <v>70000000</v>
      </c>
      <c r="G39" s="5">
        <v>75428231</v>
      </c>
      <c r="H39" s="5">
        <v>46276633</v>
      </c>
      <c r="I39" s="5">
        <v>29151598</v>
      </c>
    </row>
    <row r="40" spans="1:9">
      <c r="A40" s="3">
        <v>46026</v>
      </c>
      <c r="B40" s="4" t="s">
        <v>9</v>
      </c>
      <c r="C40" t="s">
        <v>26</v>
      </c>
      <c r="D40" t="s">
        <v>14</v>
      </c>
      <c r="E40" t="s">
        <v>27</v>
      </c>
      <c r="F40" s="5">
        <v>116000000</v>
      </c>
      <c r="G40" s="5">
        <v>138950647</v>
      </c>
      <c r="H40" s="5">
        <v>91445716</v>
      </c>
      <c r="I40" s="5">
        <v>47504931</v>
      </c>
    </row>
    <row r="41" spans="1:9">
      <c r="A41" s="3">
        <v>46032</v>
      </c>
      <c r="B41" s="4" t="s">
        <v>9</v>
      </c>
      <c r="C41" t="s">
        <v>26</v>
      </c>
      <c r="D41" t="s">
        <v>15</v>
      </c>
      <c r="E41" t="s">
        <v>27</v>
      </c>
      <c r="F41" s="5">
        <v>100000000</v>
      </c>
      <c r="G41" s="5">
        <v>84490782</v>
      </c>
      <c r="H41" s="5">
        <v>56113813</v>
      </c>
      <c r="I41" s="5">
        <v>28376969</v>
      </c>
    </row>
    <row r="42" spans="1:9">
      <c r="A42" s="3">
        <v>46025</v>
      </c>
      <c r="B42" s="4" t="s">
        <v>9</v>
      </c>
      <c r="C42" t="s">
        <v>26</v>
      </c>
      <c r="D42" t="s">
        <v>11</v>
      </c>
      <c r="E42" t="s">
        <v>28</v>
      </c>
      <c r="F42" s="5">
        <v>80000000</v>
      </c>
      <c r="G42" s="5">
        <v>90777621</v>
      </c>
      <c r="H42" s="5">
        <v>59557656</v>
      </c>
      <c r="I42" s="5">
        <v>31219965</v>
      </c>
    </row>
    <row r="43" spans="1:9">
      <c r="A43" s="3">
        <v>46047</v>
      </c>
      <c r="B43" s="4" t="s">
        <v>9</v>
      </c>
      <c r="C43" t="s">
        <v>26</v>
      </c>
      <c r="D43" t="s">
        <v>13</v>
      </c>
      <c r="E43" t="s">
        <v>28</v>
      </c>
      <c r="F43" s="5">
        <v>138000000</v>
      </c>
      <c r="G43" s="5">
        <v>158604615</v>
      </c>
      <c r="H43" s="5">
        <v>89879790</v>
      </c>
      <c r="I43" s="5">
        <v>68724825</v>
      </c>
    </row>
    <row r="44" spans="1:9">
      <c r="A44" s="3">
        <v>46038</v>
      </c>
      <c r="B44" s="4" t="s">
        <v>9</v>
      </c>
      <c r="C44" t="s">
        <v>26</v>
      </c>
      <c r="D44" t="s">
        <v>14</v>
      </c>
      <c r="E44" t="s">
        <v>28</v>
      </c>
      <c r="F44" s="5">
        <v>140000000</v>
      </c>
      <c r="G44" s="5">
        <v>124740642</v>
      </c>
      <c r="H44" s="5">
        <v>77164260</v>
      </c>
      <c r="I44" s="5">
        <v>47576382</v>
      </c>
    </row>
    <row r="45" spans="1:9">
      <c r="A45" s="3">
        <v>46042</v>
      </c>
      <c r="B45" s="4" t="s">
        <v>9</v>
      </c>
      <c r="C45" t="s">
        <v>26</v>
      </c>
      <c r="D45" t="s">
        <v>15</v>
      </c>
      <c r="E45" t="s">
        <v>28</v>
      </c>
      <c r="F45" s="5">
        <v>124000000</v>
      </c>
      <c r="G45" s="5">
        <v>153099830</v>
      </c>
      <c r="H45" s="5">
        <v>102693051</v>
      </c>
      <c r="I45" s="5">
        <v>50406779</v>
      </c>
    </row>
    <row r="46" spans="1:9">
      <c r="A46" s="3">
        <v>46047</v>
      </c>
      <c r="B46" s="4" t="s">
        <v>9</v>
      </c>
      <c r="C46" t="s">
        <v>26</v>
      </c>
      <c r="D46" t="s">
        <v>11</v>
      </c>
      <c r="E46" t="s">
        <v>29</v>
      </c>
      <c r="F46" s="5">
        <v>158000000</v>
      </c>
      <c r="G46" s="5">
        <v>143226203</v>
      </c>
      <c r="H46" s="5">
        <v>84578383</v>
      </c>
      <c r="I46" s="5">
        <v>58647820</v>
      </c>
    </row>
    <row r="47" spans="1:9">
      <c r="A47" s="3">
        <v>46044</v>
      </c>
      <c r="B47" s="4" t="s">
        <v>9</v>
      </c>
      <c r="C47" t="s">
        <v>26</v>
      </c>
      <c r="D47" t="s">
        <v>13</v>
      </c>
      <c r="E47" t="s">
        <v>29</v>
      </c>
      <c r="F47" s="5">
        <v>153000000</v>
      </c>
      <c r="G47" s="5">
        <v>150027334</v>
      </c>
      <c r="H47" s="5">
        <v>100060705</v>
      </c>
      <c r="I47" s="5">
        <v>49966629</v>
      </c>
    </row>
    <row r="48" spans="1:9">
      <c r="A48" s="3">
        <v>46037</v>
      </c>
      <c r="B48" s="4" t="s">
        <v>9</v>
      </c>
      <c r="C48" t="s">
        <v>26</v>
      </c>
      <c r="D48" t="s">
        <v>14</v>
      </c>
      <c r="E48" t="s">
        <v>29</v>
      </c>
      <c r="F48" s="5">
        <v>85000000</v>
      </c>
      <c r="G48" s="5">
        <v>78760950</v>
      </c>
      <c r="H48" s="5">
        <v>43974078</v>
      </c>
      <c r="I48" s="5">
        <v>34786872</v>
      </c>
    </row>
    <row r="49" spans="1:9">
      <c r="A49" s="3">
        <v>46023</v>
      </c>
      <c r="B49" s="4" t="s">
        <v>9</v>
      </c>
      <c r="C49" t="s">
        <v>26</v>
      </c>
      <c r="D49" t="s">
        <v>15</v>
      </c>
      <c r="E49" t="s">
        <v>29</v>
      </c>
      <c r="F49" s="5">
        <v>145000000</v>
      </c>
      <c r="G49" s="5">
        <v>153437006</v>
      </c>
      <c r="H49" s="5">
        <v>96127856</v>
      </c>
      <c r="I49" s="5">
        <v>57309150</v>
      </c>
    </row>
    <row r="50" spans="1:9">
      <c r="A50" s="3">
        <v>46023</v>
      </c>
      <c r="B50" s="4" t="s">
        <v>9</v>
      </c>
      <c r="C50" t="s">
        <v>30</v>
      </c>
      <c r="D50" t="s">
        <v>11</v>
      </c>
      <c r="E50" t="s">
        <v>31</v>
      </c>
      <c r="F50" s="5">
        <v>79000000</v>
      </c>
      <c r="G50" s="5">
        <v>88825356</v>
      </c>
      <c r="H50" s="5">
        <v>49533778</v>
      </c>
      <c r="I50" s="5">
        <v>39291578</v>
      </c>
    </row>
    <row r="51" spans="1:9">
      <c r="A51" s="3">
        <v>46025</v>
      </c>
      <c r="B51" s="4" t="s">
        <v>9</v>
      </c>
      <c r="C51" t="s">
        <v>30</v>
      </c>
      <c r="D51" t="s">
        <v>13</v>
      </c>
      <c r="E51" t="s">
        <v>31</v>
      </c>
      <c r="F51" s="5">
        <v>74000000</v>
      </c>
      <c r="G51" s="5">
        <v>88033598</v>
      </c>
      <c r="H51" s="5">
        <v>49229396</v>
      </c>
      <c r="I51" s="5">
        <v>38804202</v>
      </c>
    </row>
    <row r="52" spans="1:9">
      <c r="A52" s="3">
        <v>46030</v>
      </c>
      <c r="B52" s="4" t="s">
        <v>9</v>
      </c>
      <c r="C52" t="s">
        <v>30</v>
      </c>
      <c r="D52" t="s">
        <v>14</v>
      </c>
      <c r="E52" t="s">
        <v>31</v>
      </c>
      <c r="F52" s="5">
        <v>105000000</v>
      </c>
      <c r="G52" s="5">
        <v>116304346</v>
      </c>
      <c r="H52" s="5">
        <v>67206557</v>
      </c>
      <c r="I52" s="5">
        <v>49097789</v>
      </c>
    </row>
    <row r="53" spans="1:9">
      <c r="A53" s="3">
        <v>46027</v>
      </c>
      <c r="B53" s="4" t="s">
        <v>9</v>
      </c>
      <c r="C53" t="s">
        <v>30</v>
      </c>
      <c r="D53" t="s">
        <v>15</v>
      </c>
      <c r="E53" t="s">
        <v>31</v>
      </c>
      <c r="F53" s="5">
        <v>143000000</v>
      </c>
      <c r="G53" s="5">
        <v>152691254</v>
      </c>
      <c r="H53" s="5">
        <v>88803651</v>
      </c>
      <c r="I53" s="5">
        <v>63887603</v>
      </c>
    </row>
    <row r="54" spans="1:9">
      <c r="A54" s="3">
        <v>46038</v>
      </c>
      <c r="B54" s="4" t="s">
        <v>9</v>
      </c>
      <c r="C54" t="s">
        <v>30</v>
      </c>
      <c r="D54" t="s">
        <v>11</v>
      </c>
      <c r="E54" t="s">
        <v>32</v>
      </c>
      <c r="F54" s="5">
        <v>122000000</v>
      </c>
      <c r="G54" s="5">
        <v>110028904</v>
      </c>
      <c r="H54" s="5">
        <v>61902372</v>
      </c>
      <c r="I54" s="5">
        <v>48126532</v>
      </c>
    </row>
    <row r="55" spans="1:9">
      <c r="A55" s="3">
        <v>46036</v>
      </c>
      <c r="B55" s="4" t="s">
        <v>9</v>
      </c>
      <c r="C55" t="s">
        <v>30</v>
      </c>
      <c r="D55" t="s">
        <v>13</v>
      </c>
      <c r="E55" t="s">
        <v>32</v>
      </c>
      <c r="F55" s="5">
        <v>115000000</v>
      </c>
      <c r="G55" s="5">
        <v>115245962</v>
      </c>
      <c r="H55" s="5">
        <v>70382231</v>
      </c>
      <c r="I55" s="5">
        <v>44863731</v>
      </c>
    </row>
    <row r="56" spans="1:9">
      <c r="A56" s="3">
        <v>46046</v>
      </c>
      <c r="B56" s="4" t="s">
        <v>9</v>
      </c>
      <c r="C56" t="s">
        <v>30</v>
      </c>
      <c r="D56" t="s">
        <v>14</v>
      </c>
      <c r="E56" t="s">
        <v>32</v>
      </c>
      <c r="F56" s="5">
        <v>76000000</v>
      </c>
      <c r="G56" s="5">
        <v>84325553</v>
      </c>
      <c r="H56" s="5">
        <v>57167789</v>
      </c>
      <c r="I56" s="5">
        <v>27157764</v>
      </c>
    </row>
    <row r="57" spans="1:9">
      <c r="A57" s="3">
        <v>46026</v>
      </c>
      <c r="B57" s="4" t="s">
        <v>9</v>
      </c>
      <c r="C57" t="s">
        <v>30</v>
      </c>
      <c r="D57" t="s">
        <v>15</v>
      </c>
      <c r="E57" t="s">
        <v>32</v>
      </c>
      <c r="F57" s="5">
        <v>77000000</v>
      </c>
      <c r="G57" s="5">
        <v>76470790</v>
      </c>
      <c r="H57" s="5">
        <v>45432010</v>
      </c>
      <c r="I57" s="5">
        <v>31038780</v>
      </c>
    </row>
    <row r="58" spans="1:9">
      <c r="A58" s="3">
        <v>46050</v>
      </c>
      <c r="B58" s="4" t="s">
        <v>9</v>
      </c>
      <c r="C58" t="s">
        <v>30</v>
      </c>
      <c r="D58" t="s">
        <v>11</v>
      </c>
      <c r="E58" t="s">
        <v>33</v>
      </c>
      <c r="F58" s="5">
        <v>83000000</v>
      </c>
      <c r="G58" s="5">
        <v>76934544</v>
      </c>
      <c r="H58" s="5">
        <v>44216371</v>
      </c>
      <c r="I58" s="5">
        <v>32718173</v>
      </c>
    </row>
    <row r="59" spans="1:9">
      <c r="A59" s="3">
        <v>46037</v>
      </c>
      <c r="B59" s="4" t="s">
        <v>9</v>
      </c>
      <c r="C59" t="s">
        <v>30</v>
      </c>
      <c r="D59" t="s">
        <v>13</v>
      </c>
      <c r="E59" t="s">
        <v>33</v>
      </c>
      <c r="F59" s="5">
        <v>87000000</v>
      </c>
      <c r="G59" s="5">
        <v>87122592</v>
      </c>
      <c r="H59" s="5">
        <v>51072210</v>
      </c>
      <c r="I59" s="5">
        <v>36050382</v>
      </c>
    </row>
    <row r="60" spans="1:9">
      <c r="A60" s="3">
        <v>46030</v>
      </c>
      <c r="B60" s="4" t="s">
        <v>9</v>
      </c>
      <c r="C60" t="s">
        <v>30</v>
      </c>
      <c r="D60" t="s">
        <v>14</v>
      </c>
      <c r="E60" t="s">
        <v>33</v>
      </c>
      <c r="F60" s="5">
        <v>79000000</v>
      </c>
      <c r="G60" s="5">
        <v>79833151</v>
      </c>
      <c r="H60" s="5">
        <v>52847580</v>
      </c>
      <c r="I60" s="5">
        <v>26985571</v>
      </c>
    </row>
    <row r="61" spans="1:9">
      <c r="A61" s="3">
        <v>46040</v>
      </c>
      <c r="B61" s="4" t="s">
        <v>9</v>
      </c>
      <c r="C61" t="s">
        <v>30</v>
      </c>
      <c r="D61" t="s">
        <v>15</v>
      </c>
      <c r="E61" t="s">
        <v>33</v>
      </c>
      <c r="F61" s="5">
        <v>82000000</v>
      </c>
      <c r="G61" s="5">
        <v>69023744</v>
      </c>
      <c r="H61" s="5">
        <v>46929707</v>
      </c>
      <c r="I61" s="5">
        <v>22094037</v>
      </c>
    </row>
    <row r="62" spans="1:9">
      <c r="A62" s="3">
        <v>46080</v>
      </c>
      <c r="B62" s="4" t="s">
        <v>34</v>
      </c>
      <c r="C62" t="s">
        <v>10</v>
      </c>
      <c r="D62" t="s">
        <v>11</v>
      </c>
      <c r="E62" t="s">
        <v>12</v>
      </c>
      <c r="F62" s="5">
        <v>71000000</v>
      </c>
      <c r="G62" s="5">
        <v>87803455</v>
      </c>
      <c r="H62" s="5">
        <v>58865869</v>
      </c>
      <c r="I62" s="5">
        <v>28937586</v>
      </c>
    </row>
    <row r="63" spans="1:9">
      <c r="A63" s="3">
        <v>46081</v>
      </c>
      <c r="B63" s="4" t="s">
        <v>34</v>
      </c>
      <c r="C63" t="s">
        <v>10</v>
      </c>
      <c r="D63" t="s">
        <v>13</v>
      </c>
      <c r="E63" t="s">
        <v>12</v>
      </c>
      <c r="F63" s="5">
        <v>100000000</v>
      </c>
      <c r="G63" s="5">
        <v>89151377</v>
      </c>
      <c r="H63" s="5">
        <v>54661682</v>
      </c>
      <c r="I63" s="5">
        <v>34489695</v>
      </c>
    </row>
    <row r="64" spans="1:9">
      <c r="A64" s="3">
        <v>46060</v>
      </c>
      <c r="B64" s="4" t="s">
        <v>34</v>
      </c>
      <c r="C64" t="s">
        <v>10</v>
      </c>
      <c r="D64" t="s">
        <v>14</v>
      </c>
      <c r="E64" t="s">
        <v>12</v>
      </c>
      <c r="F64" s="5">
        <v>121000000</v>
      </c>
      <c r="G64" s="5">
        <v>146174102</v>
      </c>
      <c r="H64" s="5">
        <v>83524294</v>
      </c>
      <c r="I64" s="5">
        <v>62649808</v>
      </c>
    </row>
    <row r="65" spans="1:9">
      <c r="A65" s="3">
        <v>46054</v>
      </c>
      <c r="B65" s="4" t="s">
        <v>34</v>
      </c>
      <c r="C65" t="s">
        <v>10</v>
      </c>
      <c r="D65" t="s">
        <v>15</v>
      </c>
      <c r="E65" t="s">
        <v>12</v>
      </c>
      <c r="F65" s="5">
        <v>119000000</v>
      </c>
      <c r="G65" s="5">
        <v>111150440</v>
      </c>
      <c r="H65" s="5">
        <v>72462215</v>
      </c>
      <c r="I65" s="5">
        <v>38688225</v>
      </c>
    </row>
    <row r="66" spans="1:9">
      <c r="A66" s="3">
        <v>46068</v>
      </c>
      <c r="B66" s="4" t="s">
        <v>34</v>
      </c>
      <c r="C66" t="s">
        <v>10</v>
      </c>
      <c r="D66" t="s">
        <v>11</v>
      </c>
      <c r="E66" t="s">
        <v>16</v>
      </c>
      <c r="F66" s="5">
        <v>106000000</v>
      </c>
      <c r="G66" s="5">
        <v>106200681</v>
      </c>
      <c r="H66" s="5">
        <v>71627186</v>
      </c>
      <c r="I66" s="5">
        <v>34573495</v>
      </c>
    </row>
    <row r="67" spans="1:9">
      <c r="A67" s="3">
        <v>46079</v>
      </c>
      <c r="B67" s="4" t="s">
        <v>34</v>
      </c>
      <c r="C67" t="s">
        <v>10</v>
      </c>
      <c r="D67" t="s">
        <v>13</v>
      </c>
      <c r="E67" t="s">
        <v>16</v>
      </c>
      <c r="F67" s="5">
        <v>141000000</v>
      </c>
      <c r="G67" s="5">
        <v>155749257</v>
      </c>
      <c r="H67" s="5">
        <v>95515923</v>
      </c>
      <c r="I67" s="5">
        <v>60233334</v>
      </c>
    </row>
    <row r="68" spans="1:9">
      <c r="A68" s="3">
        <v>46060</v>
      </c>
      <c r="B68" s="4" t="s">
        <v>34</v>
      </c>
      <c r="C68" t="s">
        <v>10</v>
      </c>
      <c r="D68" t="s">
        <v>14</v>
      </c>
      <c r="E68" t="s">
        <v>16</v>
      </c>
      <c r="F68" s="5">
        <v>107000000</v>
      </c>
      <c r="G68" s="5">
        <v>97756418</v>
      </c>
      <c r="H68" s="5">
        <v>54509255</v>
      </c>
      <c r="I68" s="5">
        <v>43247163</v>
      </c>
    </row>
    <row r="69" spans="1:9">
      <c r="A69" s="3">
        <v>46077</v>
      </c>
      <c r="B69" s="4" t="s">
        <v>34</v>
      </c>
      <c r="C69" t="s">
        <v>10</v>
      </c>
      <c r="D69" t="s">
        <v>15</v>
      </c>
      <c r="E69" t="s">
        <v>16</v>
      </c>
      <c r="F69" s="5">
        <v>139000000</v>
      </c>
      <c r="G69" s="5">
        <v>117623434</v>
      </c>
      <c r="H69" s="5">
        <v>69488234</v>
      </c>
      <c r="I69" s="5">
        <v>48135200</v>
      </c>
    </row>
    <row r="70" spans="1:9">
      <c r="A70" s="3">
        <v>46055</v>
      </c>
      <c r="B70" s="4" t="s">
        <v>34</v>
      </c>
      <c r="C70" t="s">
        <v>10</v>
      </c>
      <c r="D70" t="s">
        <v>11</v>
      </c>
      <c r="E70" t="s">
        <v>17</v>
      </c>
      <c r="F70" s="5">
        <v>144000000</v>
      </c>
      <c r="G70" s="5">
        <v>147602744</v>
      </c>
      <c r="H70" s="5">
        <v>98823037</v>
      </c>
      <c r="I70" s="5">
        <v>48779707</v>
      </c>
    </row>
    <row r="71" spans="1:9">
      <c r="A71" s="3">
        <v>46070</v>
      </c>
      <c r="B71" s="4" t="s">
        <v>34</v>
      </c>
      <c r="C71" t="s">
        <v>10</v>
      </c>
      <c r="D71" t="s">
        <v>13</v>
      </c>
      <c r="E71" t="s">
        <v>17</v>
      </c>
      <c r="F71" s="5">
        <v>90000000</v>
      </c>
      <c r="G71" s="5">
        <v>76001239</v>
      </c>
      <c r="H71" s="5">
        <v>46818108</v>
      </c>
      <c r="I71" s="5">
        <v>29183131</v>
      </c>
    </row>
    <row r="72" spans="1:9">
      <c r="A72" s="3">
        <v>46081</v>
      </c>
      <c r="B72" s="4" t="s">
        <v>34</v>
      </c>
      <c r="C72" t="s">
        <v>10</v>
      </c>
      <c r="D72" t="s">
        <v>14</v>
      </c>
      <c r="E72" t="s">
        <v>17</v>
      </c>
      <c r="F72" s="5">
        <v>93000000</v>
      </c>
      <c r="G72" s="5">
        <v>79000168</v>
      </c>
      <c r="H72" s="5">
        <v>44148051</v>
      </c>
      <c r="I72" s="5">
        <v>34852117</v>
      </c>
    </row>
    <row r="73" spans="1:9">
      <c r="A73" s="3">
        <v>46081</v>
      </c>
      <c r="B73" s="4" t="s">
        <v>34</v>
      </c>
      <c r="C73" t="s">
        <v>10</v>
      </c>
      <c r="D73" t="s">
        <v>15</v>
      </c>
      <c r="E73" t="s">
        <v>17</v>
      </c>
      <c r="F73" s="5">
        <v>100000000</v>
      </c>
      <c r="G73" s="5">
        <v>99362348</v>
      </c>
      <c r="H73" s="5">
        <v>66811987</v>
      </c>
      <c r="I73" s="5">
        <v>32550361</v>
      </c>
    </row>
    <row r="74" spans="1:9">
      <c r="A74" s="3">
        <v>46072</v>
      </c>
      <c r="B74" s="4" t="s">
        <v>34</v>
      </c>
      <c r="C74" t="s">
        <v>18</v>
      </c>
      <c r="D74" t="s">
        <v>11</v>
      </c>
      <c r="E74" t="s">
        <v>19</v>
      </c>
      <c r="F74" s="5">
        <v>101000000</v>
      </c>
      <c r="G74" s="5">
        <v>107962454</v>
      </c>
      <c r="H74" s="5">
        <v>59937128</v>
      </c>
      <c r="I74" s="5">
        <v>48025326</v>
      </c>
    </row>
    <row r="75" spans="1:9">
      <c r="A75" s="3">
        <v>46056</v>
      </c>
      <c r="B75" s="4" t="s">
        <v>34</v>
      </c>
      <c r="C75" t="s">
        <v>18</v>
      </c>
      <c r="D75" t="s">
        <v>13</v>
      </c>
      <c r="E75" t="s">
        <v>19</v>
      </c>
      <c r="F75" s="5">
        <v>123000000</v>
      </c>
      <c r="G75" s="5">
        <v>135628466</v>
      </c>
      <c r="H75" s="5">
        <v>84561568</v>
      </c>
      <c r="I75" s="5">
        <v>51066898</v>
      </c>
    </row>
    <row r="76" spans="1:9">
      <c r="A76" s="3">
        <v>46064</v>
      </c>
      <c r="B76" s="4" t="s">
        <v>34</v>
      </c>
      <c r="C76" t="s">
        <v>18</v>
      </c>
      <c r="D76" t="s">
        <v>14</v>
      </c>
      <c r="E76" t="s">
        <v>19</v>
      </c>
      <c r="F76" s="5">
        <v>103000000</v>
      </c>
      <c r="G76" s="5">
        <v>93506639</v>
      </c>
      <c r="H76" s="5">
        <v>60134580</v>
      </c>
      <c r="I76" s="5">
        <v>33372059</v>
      </c>
    </row>
    <row r="77" spans="1:9">
      <c r="A77" s="3">
        <v>46061</v>
      </c>
      <c r="B77" s="4" t="s">
        <v>34</v>
      </c>
      <c r="C77" t="s">
        <v>18</v>
      </c>
      <c r="D77" t="s">
        <v>15</v>
      </c>
      <c r="E77" t="s">
        <v>19</v>
      </c>
      <c r="F77" s="5">
        <v>103000000</v>
      </c>
      <c r="G77" s="5">
        <v>101989355</v>
      </c>
      <c r="H77" s="5">
        <v>64999828</v>
      </c>
      <c r="I77" s="5">
        <v>36989527</v>
      </c>
    </row>
    <row r="78" spans="1:9">
      <c r="A78" s="3">
        <v>46063</v>
      </c>
      <c r="B78" s="4" t="s">
        <v>34</v>
      </c>
      <c r="C78" t="s">
        <v>18</v>
      </c>
      <c r="D78" t="s">
        <v>11</v>
      </c>
      <c r="E78" t="s">
        <v>20</v>
      </c>
      <c r="F78" s="5">
        <v>128000000</v>
      </c>
      <c r="G78" s="5">
        <v>122362392</v>
      </c>
      <c r="H78" s="5">
        <v>79259307</v>
      </c>
      <c r="I78" s="5">
        <v>43103085</v>
      </c>
    </row>
    <row r="79" spans="1:9">
      <c r="A79" s="3">
        <v>46056</v>
      </c>
      <c r="B79" s="4" t="s">
        <v>34</v>
      </c>
      <c r="C79" t="s">
        <v>18</v>
      </c>
      <c r="D79" t="s">
        <v>13</v>
      </c>
      <c r="E79" t="s">
        <v>20</v>
      </c>
      <c r="F79" s="5">
        <v>71000000</v>
      </c>
      <c r="G79" s="5">
        <v>72211457</v>
      </c>
      <c r="H79" s="5">
        <v>49089281</v>
      </c>
      <c r="I79" s="5">
        <v>23122176</v>
      </c>
    </row>
    <row r="80" spans="1:9">
      <c r="A80" s="3">
        <v>46057</v>
      </c>
      <c r="B80" s="4" t="s">
        <v>34</v>
      </c>
      <c r="C80" t="s">
        <v>18</v>
      </c>
      <c r="D80" t="s">
        <v>14</v>
      </c>
      <c r="E80" t="s">
        <v>20</v>
      </c>
      <c r="F80" s="5">
        <v>79000000</v>
      </c>
      <c r="G80" s="5">
        <v>83043440</v>
      </c>
      <c r="H80" s="5">
        <v>51135244</v>
      </c>
      <c r="I80" s="5">
        <v>31908196</v>
      </c>
    </row>
    <row r="81" spans="1:9">
      <c r="A81" s="3">
        <v>46058</v>
      </c>
      <c r="B81" s="4" t="s">
        <v>34</v>
      </c>
      <c r="C81" t="s">
        <v>18</v>
      </c>
      <c r="D81" t="s">
        <v>15</v>
      </c>
      <c r="E81" t="s">
        <v>20</v>
      </c>
      <c r="F81" s="5">
        <v>114000000</v>
      </c>
      <c r="G81" s="5">
        <v>136659961</v>
      </c>
      <c r="H81" s="5">
        <v>90783913</v>
      </c>
      <c r="I81" s="5">
        <v>45876048</v>
      </c>
    </row>
    <row r="82" spans="1:9">
      <c r="A82" s="3">
        <v>46065</v>
      </c>
      <c r="B82" s="4" t="s">
        <v>34</v>
      </c>
      <c r="C82" t="s">
        <v>18</v>
      </c>
      <c r="D82" t="s">
        <v>11</v>
      </c>
      <c r="E82" t="s">
        <v>21</v>
      </c>
      <c r="F82" s="5">
        <v>106000000</v>
      </c>
      <c r="G82" s="5">
        <v>94110100</v>
      </c>
      <c r="H82" s="5">
        <v>61960851</v>
      </c>
      <c r="I82" s="5">
        <v>32149249</v>
      </c>
    </row>
    <row r="83" spans="1:9">
      <c r="A83" s="3">
        <v>46076</v>
      </c>
      <c r="B83" s="4" t="s">
        <v>34</v>
      </c>
      <c r="C83" t="s">
        <v>18</v>
      </c>
      <c r="D83" t="s">
        <v>13</v>
      </c>
      <c r="E83" t="s">
        <v>21</v>
      </c>
      <c r="F83" s="5">
        <v>108000000</v>
      </c>
      <c r="G83" s="5">
        <v>116966315</v>
      </c>
      <c r="H83" s="5">
        <v>79342965</v>
      </c>
      <c r="I83" s="5">
        <v>37623350</v>
      </c>
    </row>
    <row r="84" spans="1:9">
      <c r="A84" s="3">
        <v>46074</v>
      </c>
      <c r="B84" s="4" t="s">
        <v>34</v>
      </c>
      <c r="C84" t="s">
        <v>18</v>
      </c>
      <c r="D84" t="s">
        <v>14</v>
      </c>
      <c r="E84" t="s">
        <v>21</v>
      </c>
      <c r="F84" s="5">
        <v>137000000</v>
      </c>
      <c r="G84" s="5">
        <v>112800859</v>
      </c>
      <c r="H84" s="5">
        <v>74022578</v>
      </c>
      <c r="I84" s="5">
        <v>38778281</v>
      </c>
    </row>
    <row r="85" spans="1:9">
      <c r="A85" s="3">
        <v>46063</v>
      </c>
      <c r="B85" s="4" t="s">
        <v>34</v>
      </c>
      <c r="C85" t="s">
        <v>18</v>
      </c>
      <c r="D85" t="s">
        <v>15</v>
      </c>
      <c r="E85" t="s">
        <v>21</v>
      </c>
      <c r="F85" s="5">
        <v>154000000</v>
      </c>
      <c r="G85" s="5">
        <v>133139498</v>
      </c>
      <c r="H85" s="5">
        <v>88425463</v>
      </c>
      <c r="I85" s="5">
        <v>44714035</v>
      </c>
    </row>
    <row r="86" spans="1:9">
      <c r="A86" s="3">
        <v>46062</v>
      </c>
      <c r="B86" s="4" t="s">
        <v>34</v>
      </c>
      <c r="C86" t="s">
        <v>22</v>
      </c>
      <c r="D86" t="s">
        <v>11</v>
      </c>
      <c r="E86" t="s">
        <v>23</v>
      </c>
      <c r="F86" s="5">
        <v>84000000</v>
      </c>
      <c r="G86" s="5">
        <v>101016422</v>
      </c>
      <c r="H86" s="5">
        <v>65308548</v>
      </c>
      <c r="I86" s="5">
        <v>35707874</v>
      </c>
    </row>
    <row r="87" spans="1:9">
      <c r="A87" s="3">
        <v>46058</v>
      </c>
      <c r="B87" s="4" t="s">
        <v>34</v>
      </c>
      <c r="C87" t="s">
        <v>22</v>
      </c>
      <c r="D87" t="s">
        <v>13</v>
      </c>
      <c r="E87" t="s">
        <v>23</v>
      </c>
      <c r="F87" s="5">
        <v>104000000</v>
      </c>
      <c r="G87" s="5">
        <v>97880140</v>
      </c>
      <c r="H87" s="5">
        <v>56514216</v>
      </c>
      <c r="I87" s="5">
        <v>41365924</v>
      </c>
    </row>
    <row r="88" spans="1:9">
      <c r="A88" s="3">
        <v>46064</v>
      </c>
      <c r="B88" s="4" t="s">
        <v>34</v>
      </c>
      <c r="C88" t="s">
        <v>22</v>
      </c>
      <c r="D88" t="s">
        <v>14</v>
      </c>
      <c r="E88" t="s">
        <v>23</v>
      </c>
      <c r="F88" s="5">
        <v>96000000</v>
      </c>
      <c r="G88" s="5">
        <v>107099881</v>
      </c>
      <c r="H88" s="5">
        <v>70780026</v>
      </c>
      <c r="I88" s="5">
        <v>36319855</v>
      </c>
    </row>
    <row r="89" spans="1:9">
      <c r="A89" s="3">
        <v>46070</v>
      </c>
      <c r="B89" s="4" t="s">
        <v>34</v>
      </c>
      <c r="C89" t="s">
        <v>22</v>
      </c>
      <c r="D89" t="s">
        <v>15</v>
      </c>
      <c r="E89" t="s">
        <v>23</v>
      </c>
      <c r="F89" s="5">
        <v>132000000</v>
      </c>
      <c r="G89" s="5">
        <v>122493642</v>
      </c>
      <c r="H89" s="5">
        <v>81833185</v>
      </c>
      <c r="I89" s="5">
        <v>40660457</v>
      </c>
    </row>
    <row r="90" spans="1:9">
      <c r="A90" s="3">
        <v>46055</v>
      </c>
      <c r="B90" s="4" t="s">
        <v>34</v>
      </c>
      <c r="C90" t="s">
        <v>22</v>
      </c>
      <c r="D90" t="s">
        <v>11</v>
      </c>
      <c r="E90" t="s">
        <v>24</v>
      </c>
      <c r="F90" s="5">
        <v>81000000</v>
      </c>
      <c r="G90" s="5">
        <v>88512127</v>
      </c>
      <c r="H90" s="5">
        <v>58224627</v>
      </c>
      <c r="I90" s="5">
        <v>30287500</v>
      </c>
    </row>
    <row r="91" spans="1:9">
      <c r="A91" s="3">
        <v>46055</v>
      </c>
      <c r="B91" s="4" t="s">
        <v>34</v>
      </c>
      <c r="C91" t="s">
        <v>22</v>
      </c>
      <c r="D91" t="s">
        <v>13</v>
      </c>
      <c r="E91" t="s">
        <v>24</v>
      </c>
      <c r="F91" s="5">
        <v>70000000</v>
      </c>
      <c r="G91" s="5">
        <v>67440051</v>
      </c>
      <c r="H91" s="5">
        <v>38238951</v>
      </c>
      <c r="I91" s="5">
        <v>29201100</v>
      </c>
    </row>
    <row r="92" spans="1:9">
      <c r="A92" s="3">
        <v>46062</v>
      </c>
      <c r="B92" s="4" t="s">
        <v>34</v>
      </c>
      <c r="C92" t="s">
        <v>22</v>
      </c>
      <c r="D92" t="s">
        <v>14</v>
      </c>
      <c r="E92" t="s">
        <v>24</v>
      </c>
      <c r="F92" s="5">
        <v>90000000</v>
      </c>
      <c r="G92" s="5">
        <v>102485636</v>
      </c>
      <c r="H92" s="5">
        <v>63717211</v>
      </c>
      <c r="I92" s="5">
        <v>38768425</v>
      </c>
    </row>
    <row r="93" spans="1:9">
      <c r="A93" s="3">
        <v>46067</v>
      </c>
      <c r="B93" s="4" t="s">
        <v>34</v>
      </c>
      <c r="C93" t="s">
        <v>22</v>
      </c>
      <c r="D93" t="s">
        <v>15</v>
      </c>
      <c r="E93" t="s">
        <v>24</v>
      </c>
      <c r="F93" s="5">
        <v>141000000</v>
      </c>
      <c r="G93" s="5">
        <v>116206273</v>
      </c>
      <c r="H93" s="5">
        <v>65050145</v>
      </c>
      <c r="I93" s="5">
        <v>51156128</v>
      </c>
    </row>
    <row r="94" spans="1:9">
      <c r="A94" s="3">
        <v>46076</v>
      </c>
      <c r="B94" s="4" t="s">
        <v>34</v>
      </c>
      <c r="C94" t="s">
        <v>22</v>
      </c>
      <c r="D94" t="s">
        <v>11</v>
      </c>
      <c r="E94" t="s">
        <v>25</v>
      </c>
      <c r="F94" s="5">
        <v>89000000</v>
      </c>
      <c r="G94" s="5">
        <v>93859740</v>
      </c>
      <c r="H94" s="5">
        <v>61806390</v>
      </c>
      <c r="I94" s="5">
        <v>32053350</v>
      </c>
    </row>
    <row r="95" spans="1:9">
      <c r="A95" s="3">
        <v>46072</v>
      </c>
      <c r="B95" s="4" t="s">
        <v>34</v>
      </c>
      <c r="C95" t="s">
        <v>22</v>
      </c>
      <c r="D95" t="s">
        <v>13</v>
      </c>
      <c r="E95" t="s">
        <v>25</v>
      </c>
      <c r="F95" s="5">
        <v>140000000</v>
      </c>
      <c r="G95" s="5">
        <v>123715245</v>
      </c>
      <c r="H95" s="5">
        <v>70093088</v>
      </c>
      <c r="I95" s="5">
        <v>53622157</v>
      </c>
    </row>
    <row r="96" spans="1:9">
      <c r="A96" s="3">
        <v>46063</v>
      </c>
      <c r="B96" s="4" t="s">
        <v>34</v>
      </c>
      <c r="C96" t="s">
        <v>22</v>
      </c>
      <c r="D96" t="s">
        <v>14</v>
      </c>
      <c r="E96" t="s">
        <v>25</v>
      </c>
      <c r="F96" s="5">
        <v>116000000</v>
      </c>
      <c r="G96" s="5">
        <v>139961196</v>
      </c>
      <c r="H96" s="5">
        <v>91464067</v>
      </c>
      <c r="I96" s="5">
        <v>48497129</v>
      </c>
    </row>
    <row r="97" spans="1:9">
      <c r="A97" s="3">
        <v>46081</v>
      </c>
      <c r="B97" s="4" t="s">
        <v>34</v>
      </c>
      <c r="C97" t="s">
        <v>22</v>
      </c>
      <c r="D97" t="s">
        <v>15</v>
      </c>
      <c r="E97" t="s">
        <v>25</v>
      </c>
      <c r="F97" s="5">
        <v>75000000</v>
      </c>
      <c r="G97" s="5">
        <v>90490319</v>
      </c>
      <c r="H97" s="5">
        <v>52240961</v>
      </c>
      <c r="I97" s="5">
        <v>38249358</v>
      </c>
    </row>
    <row r="98" spans="1:9">
      <c r="A98" s="3">
        <v>46061</v>
      </c>
      <c r="B98" s="4" t="s">
        <v>34</v>
      </c>
      <c r="C98" t="s">
        <v>26</v>
      </c>
      <c r="D98" t="s">
        <v>11</v>
      </c>
      <c r="E98" t="s">
        <v>27</v>
      </c>
      <c r="F98" s="5">
        <v>155000000</v>
      </c>
      <c r="G98" s="5">
        <v>133951194</v>
      </c>
      <c r="H98" s="5">
        <v>87257831</v>
      </c>
      <c r="I98" s="5">
        <v>46693363</v>
      </c>
    </row>
    <row r="99" spans="1:9">
      <c r="A99" s="3">
        <v>46081</v>
      </c>
      <c r="B99" s="4" t="s">
        <v>34</v>
      </c>
      <c r="C99" t="s">
        <v>26</v>
      </c>
      <c r="D99" t="s">
        <v>13</v>
      </c>
      <c r="E99" t="s">
        <v>27</v>
      </c>
      <c r="F99" s="5">
        <v>122000000</v>
      </c>
      <c r="G99" s="5">
        <v>151127490</v>
      </c>
      <c r="H99" s="5">
        <v>97844786</v>
      </c>
      <c r="I99" s="5">
        <v>53282704</v>
      </c>
    </row>
    <row r="100" spans="1:9">
      <c r="A100" s="3">
        <v>46061</v>
      </c>
      <c r="B100" s="4" t="s">
        <v>34</v>
      </c>
      <c r="C100" t="s">
        <v>26</v>
      </c>
      <c r="D100" t="s">
        <v>14</v>
      </c>
      <c r="E100" t="s">
        <v>27</v>
      </c>
      <c r="F100" s="5">
        <v>90000000</v>
      </c>
      <c r="G100" s="5">
        <v>111579173</v>
      </c>
      <c r="H100" s="5">
        <v>73129026</v>
      </c>
      <c r="I100" s="5">
        <v>38450147</v>
      </c>
    </row>
    <row r="101" spans="1:9">
      <c r="A101" s="3">
        <v>46067</v>
      </c>
      <c r="B101" s="4" t="s">
        <v>34</v>
      </c>
      <c r="C101" t="s">
        <v>26</v>
      </c>
      <c r="D101" t="s">
        <v>15</v>
      </c>
      <c r="E101" t="s">
        <v>27</v>
      </c>
      <c r="F101" s="5">
        <v>73000000</v>
      </c>
      <c r="G101" s="5">
        <v>65490131</v>
      </c>
      <c r="H101" s="5">
        <v>43890395</v>
      </c>
      <c r="I101" s="5">
        <v>21599736</v>
      </c>
    </row>
    <row r="102" spans="1:9">
      <c r="A102" s="3">
        <v>46079</v>
      </c>
      <c r="B102" s="4" t="s">
        <v>34</v>
      </c>
      <c r="C102" t="s">
        <v>26</v>
      </c>
      <c r="D102" t="s">
        <v>11</v>
      </c>
      <c r="E102" t="s">
        <v>28</v>
      </c>
      <c r="F102" s="5">
        <v>122000000</v>
      </c>
      <c r="G102" s="5">
        <v>142125255</v>
      </c>
      <c r="H102" s="5">
        <v>94133581</v>
      </c>
      <c r="I102" s="5">
        <v>47991674</v>
      </c>
    </row>
    <row r="103" spans="1:9">
      <c r="A103" s="3">
        <v>46079</v>
      </c>
      <c r="B103" s="4" t="s">
        <v>34</v>
      </c>
      <c r="C103" t="s">
        <v>26</v>
      </c>
      <c r="D103" t="s">
        <v>13</v>
      </c>
      <c r="E103" t="s">
        <v>28</v>
      </c>
      <c r="F103" s="5">
        <v>101000000</v>
      </c>
      <c r="G103" s="5">
        <v>94407371</v>
      </c>
      <c r="H103" s="5">
        <v>61587468</v>
      </c>
      <c r="I103" s="5">
        <v>32819903</v>
      </c>
    </row>
    <row r="104" spans="1:9">
      <c r="A104" s="3">
        <v>46057</v>
      </c>
      <c r="B104" s="4" t="s">
        <v>34</v>
      </c>
      <c r="C104" t="s">
        <v>26</v>
      </c>
      <c r="D104" t="s">
        <v>14</v>
      </c>
      <c r="E104" t="s">
        <v>28</v>
      </c>
      <c r="F104" s="5">
        <v>118000000</v>
      </c>
      <c r="G104" s="5">
        <v>141013742</v>
      </c>
      <c r="H104" s="5">
        <v>93297106</v>
      </c>
      <c r="I104" s="5">
        <v>47716636</v>
      </c>
    </row>
    <row r="105" spans="1:9">
      <c r="A105" s="3">
        <v>46061</v>
      </c>
      <c r="B105" s="4" t="s">
        <v>34</v>
      </c>
      <c r="C105" t="s">
        <v>26</v>
      </c>
      <c r="D105" t="s">
        <v>15</v>
      </c>
      <c r="E105" t="s">
        <v>28</v>
      </c>
      <c r="F105" s="5">
        <v>95000000</v>
      </c>
      <c r="G105" s="5">
        <v>111257562</v>
      </c>
      <c r="H105" s="5">
        <v>67849247</v>
      </c>
      <c r="I105" s="5">
        <v>43408315</v>
      </c>
    </row>
    <row r="106" spans="1:9">
      <c r="A106" s="3">
        <v>46063</v>
      </c>
      <c r="B106" s="4" t="s">
        <v>34</v>
      </c>
      <c r="C106" t="s">
        <v>26</v>
      </c>
      <c r="D106" t="s">
        <v>11</v>
      </c>
      <c r="E106" t="s">
        <v>29</v>
      </c>
      <c r="F106" s="5">
        <v>99000000</v>
      </c>
      <c r="G106" s="5">
        <v>90669855</v>
      </c>
      <c r="H106" s="5">
        <v>57648284</v>
      </c>
      <c r="I106" s="5">
        <v>33021571</v>
      </c>
    </row>
    <row r="107" spans="1:9">
      <c r="A107" s="3">
        <v>46066</v>
      </c>
      <c r="B107" s="4" t="s">
        <v>34</v>
      </c>
      <c r="C107" t="s">
        <v>26</v>
      </c>
      <c r="D107" t="s">
        <v>13</v>
      </c>
      <c r="E107" t="s">
        <v>29</v>
      </c>
      <c r="F107" s="5">
        <v>112000000</v>
      </c>
      <c r="G107" s="5">
        <v>105257523</v>
      </c>
      <c r="H107" s="5">
        <v>58841555</v>
      </c>
      <c r="I107" s="5">
        <v>46415968</v>
      </c>
    </row>
    <row r="108" spans="1:9">
      <c r="A108" s="3">
        <v>46078</v>
      </c>
      <c r="B108" s="4" t="s">
        <v>34</v>
      </c>
      <c r="C108" t="s">
        <v>26</v>
      </c>
      <c r="D108" t="s">
        <v>14</v>
      </c>
      <c r="E108" t="s">
        <v>29</v>
      </c>
      <c r="F108" s="5">
        <v>105000000</v>
      </c>
      <c r="G108" s="5">
        <v>101954247</v>
      </c>
      <c r="H108" s="5">
        <v>62826525</v>
      </c>
      <c r="I108" s="5">
        <v>39127722</v>
      </c>
    </row>
    <row r="109" spans="1:9">
      <c r="A109" s="3">
        <v>46075</v>
      </c>
      <c r="B109" s="4" t="s">
        <v>34</v>
      </c>
      <c r="C109" t="s">
        <v>26</v>
      </c>
      <c r="D109" t="s">
        <v>15</v>
      </c>
      <c r="E109" t="s">
        <v>29</v>
      </c>
      <c r="F109" s="5">
        <v>138000000</v>
      </c>
      <c r="G109" s="5">
        <v>132810433</v>
      </c>
      <c r="H109" s="5">
        <v>73522271</v>
      </c>
      <c r="I109" s="5">
        <v>59288162</v>
      </c>
    </row>
    <row r="110" spans="1:9">
      <c r="A110" s="3">
        <v>46062</v>
      </c>
      <c r="B110" s="4" t="s">
        <v>34</v>
      </c>
      <c r="C110" t="s">
        <v>30</v>
      </c>
      <c r="D110" t="s">
        <v>11</v>
      </c>
      <c r="E110" t="s">
        <v>31</v>
      </c>
      <c r="F110" s="5">
        <v>92000000</v>
      </c>
      <c r="G110" s="5">
        <v>98408129</v>
      </c>
      <c r="H110" s="5">
        <v>66707089</v>
      </c>
      <c r="I110" s="5">
        <v>31701040</v>
      </c>
    </row>
    <row r="111" spans="1:9">
      <c r="A111" s="3">
        <v>46055</v>
      </c>
      <c r="B111" s="4" t="s">
        <v>34</v>
      </c>
      <c r="C111" t="s">
        <v>30</v>
      </c>
      <c r="D111" t="s">
        <v>13</v>
      </c>
      <c r="E111" t="s">
        <v>31</v>
      </c>
      <c r="F111" s="5">
        <v>83000000</v>
      </c>
      <c r="G111" s="5">
        <v>89351628</v>
      </c>
      <c r="H111" s="5">
        <v>53158797</v>
      </c>
      <c r="I111" s="5">
        <v>36192831</v>
      </c>
    </row>
    <row r="112" spans="1:9">
      <c r="A112" s="3">
        <v>46079</v>
      </c>
      <c r="B112" s="4" t="s">
        <v>34</v>
      </c>
      <c r="C112" t="s">
        <v>30</v>
      </c>
      <c r="D112" t="s">
        <v>14</v>
      </c>
      <c r="E112" t="s">
        <v>31</v>
      </c>
      <c r="F112" s="5">
        <v>110000000</v>
      </c>
      <c r="G112" s="5">
        <v>110841430</v>
      </c>
      <c r="H112" s="5">
        <v>75145020</v>
      </c>
      <c r="I112" s="5">
        <v>35696410</v>
      </c>
    </row>
    <row r="113" spans="1:9">
      <c r="A113" s="3">
        <v>46057</v>
      </c>
      <c r="B113" s="4" t="s">
        <v>34</v>
      </c>
      <c r="C113" t="s">
        <v>30</v>
      </c>
      <c r="D113" t="s">
        <v>15</v>
      </c>
      <c r="E113" t="s">
        <v>31</v>
      </c>
      <c r="F113" s="5">
        <v>119000000</v>
      </c>
      <c r="G113" s="5">
        <v>143607657</v>
      </c>
      <c r="H113" s="5">
        <v>82532791</v>
      </c>
      <c r="I113" s="5">
        <v>61074866</v>
      </c>
    </row>
    <row r="114" spans="1:9">
      <c r="A114" s="3">
        <v>46055</v>
      </c>
      <c r="B114" s="4" t="s">
        <v>34</v>
      </c>
      <c r="C114" t="s">
        <v>30</v>
      </c>
      <c r="D114" t="s">
        <v>11</v>
      </c>
      <c r="E114" t="s">
        <v>32</v>
      </c>
      <c r="F114" s="5">
        <v>160000000</v>
      </c>
      <c r="G114" s="5">
        <v>161200757</v>
      </c>
      <c r="H114" s="5">
        <v>99555918</v>
      </c>
      <c r="I114" s="5">
        <v>61644839</v>
      </c>
    </row>
    <row r="115" spans="1:9">
      <c r="A115" s="3">
        <v>46079</v>
      </c>
      <c r="B115" s="4" t="s">
        <v>34</v>
      </c>
      <c r="C115" t="s">
        <v>30</v>
      </c>
      <c r="D115" t="s">
        <v>13</v>
      </c>
      <c r="E115" t="s">
        <v>32</v>
      </c>
      <c r="F115" s="5">
        <v>138000000</v>
      </c>
      <c r="G115" s="5">
        <v>153918103</v>
      </c>
      <c r="H115" s="5">
        <v>103469013</v>
      </c>
      <c r="I115" s="5">
        <v>50449090</v>
      </c>
    </row>
    <row r="116" spans="1:9">
      <c r="A116" s="3">
        <v>46077</v>
      </c>
      <c r="B116" s="4" t="s">
        <v>34</v>
      </c>
      <c r="C116" t="s">
        <v>30</v>
      </c>
      <c r="D116" t="s">
        <v>14</v>
      </c>
      <c r="E116" t="s">
        <v>32</v>
      </c>
      <c r="F116" s="5">
        <v>155000000</v>
      </c>
      <c r="G116" s="5">
        <v>140232391</v>
      </c>
      <c r="H116" s="5">
        <v>84990457</v>
      </c>
      <c r="I116" s="5">
        <v>55241934</v>
      </c>
    </row>
    <row r="117" spans="1:9">
      <c r="A117" s="3">
        <v>46075</v>
      </c>
      <c r="B117" s="4" t="s">
        <v>34</v>
      </c>
      <c r="C117" t="s">
        <v>30</v>
      </c>
      <c r="D117" t="s">
        <v>15</v>
      </c>
      <c r="E117" t="s">
        <v>32</v>
      </c>
      <c r="F117" s="5">
        <v>112000000</v>
      </c>
      <c r="G117" s="5">
        <v>121851164</v>
      </c>
      <c r="H117" s="5">
        <v>77526629</v>
      </c>
      <c r="I117" s="5">
        <v>44324535</v>
      </c>
    </row>
    <row r="118" spans="1:9">
      <c r="A118" s="3">
        <v>46057</v>
      </c>
      <c r="B118" s="4" t="s">
        <v>34</v>
      </c>
      <c r="C118" t="s">
        <v>30</v>
      </c>
      <c r="D118" t="s">
        <v>11</v>
      </c>
      <c r="E118" t="s">
        <v>33</v>
      </c>
      <c r="F118" s="5">
        <v>108000000</v>
      </c>
      <c r="G118" s="5">
        <v>112110769</v>
      </c>
      <c r="H118" s="5">
        <v>71380486</v>
      </c>
      <c r="I118" s="5">
        <v>40730283</v>
      </c>
    </row>
    <row r="119" spans="1:9">
      <c r="A119" s="3">
        <v>46064</v>
      </c>
      <c r="B119" s="4" t="s">
        <v>34</v>
      </c>
      <c r="C119" t="s">
        <v>30</v>
      </c>
      <c r="D119" t="s">
        <v>13</v>
      </c>
      <c r="E119" t="s">
        <v>33</v>
      </c>
      <c r="F119" s="5">
        <v>121000000</v>
      </c>
      <c r="G119" s="5">
        <v>135495753</v>
      </c>
      <c r="H119" s="5">
        <v>84288333</v>
      </c>
      <c r="I119" s="5">
        <v>51207420</v>
      </c>
    </row>
    <row r="120" spans="1:9">
      <c r="A120" s="3">
        <v>46060</v>
      </c>
      <c r="B120" s="4" t="s">
        <v>34</v>
      </c>
      <c r="C120" t="s">
        <v>30</v>
      </c>
      <c r="D120" t="s">
        <v>14</v>
      </c>
      <c r="E120" t="s">
        <v>33</v>
      </c>
      <c r="F120" s="5">
        <v>123000000</v>
      </c>
      <c r="G120" s="5">
        <v>136028117</v>
      </c>
      <c r="H120" s="5">
        <v>81520138</v>
      </c>
      <c r="I120" s="5">
        <v>54507979</v>
      </c>
    </row>
    <row r="121" spans="1:9">
      <c r="A121" s="3">
        <v>46077</v>
      </c>
      <c r="B121" s="4" t="s">
        <v>34</v>
      </c>
      <c r="C121" t="s">
        <v>30</v>
      </c>
      <c r="D121" t="s">
        <v>15</v>
      </c>
      <c r="E121" t="s">
        <v>33</v>
      </c>
      <c r="F121" s="5">
        <v>92000000</v>
      </c>
      <c r="G121" s="5">
        <v>99789770</v>
      </c>
      <c r="H121" s="5">
        <v>58788496</v>
      </c>
      <c r="I121" s="5">
        <v>41001274</v>
      </c>
    </row>
    <row r="122" spans="1:9">
      <c r="A122" s="3">
        <v>46099</v>
      </c>
      <c r="B122" s="4" t="s">
        <v>35</v>
      </c>
      <c r="C122" t="s">
        <v>10</v>
      </c>
      <c r="D122" t="s">
        <v>11</v>
      </c>
      <c r="E122" t="s">
        <v>12</v>
      </c>
      <c r="F122" s="5">
        <v>70000000</v>
      </c>
      <c r="G122" s="5">
        <v>66546635</v>
      </c>
      <c r="H122" s="5">
        <v>38418952</v>
      </c>
      <c r="I122" s="5">
        <v>28127683</v>
      </c>
    </row>
    <row r="123" spans="1:9">
      <c r="A123" s="3">
        <v>46107</v>
      </c>
      <c r="B123" s="4" t="s">
        <v>35</v>
      </c>
      <c r="C123" t="s">
        <v>10</v>
      </c>
      <c r="D123" t="s">
        <v>13</v>
      </c>
      <c r="E123" t="s">
        <v>12</v>
      </c>
      <c r="F123" s="5">
        <v>144000000</v>
      </c>
      <c r="G123" s="5">
        <v>155644484</v>
      </c>
      <c r="H123" s="5">
        <v>92124787</v>
      </c>
      <c r="I123" s="5">
        <v>63519697</v>
      </c>
    </row>
    <row r="124" spans="1:9">
      <c r="A124" s="3">
        <v>46096</v>
      </c>
      <c r="B124" s="4" t="s">
        <v>35</v>
      </c>
      <c r="C124" t="s">
        <v>10</v>
      </c>
      <c r="D124" t="s">
        <v>14</v>
      </c>
      <c r="E124" t="s">
        <v>12</v>
      </c>
      <c r="F124" s="5">
        <v>126000000</v>
      </c>
      <c r="G124" s="5">
        <v>139925483</v>
      </c>
      <c r="H124" s="5">
        <v>86257430</v>
      </c>
      <c r="I124" s="5">
        <v>53668053</v>
      </c>
    </row>
    <row r="125" spans="1:9">
      <c r="A125" s="3">
        <v>46107</v>
      </c>
      <c r="B125" s="4" t="s">
        <v>35</v>
      </c>
      <c r="C125" t="s">
        <v>10</v>
      </c>
      <c r="D125" t="s">
        <v>15</v>
      </c>
      <c r="E125" t="s">
        <v>12</v>
      </c>
      <c r="F125" s="5">
        <v>91000000</v>
      </c>
      <c r="G125" s="5">
        <v>100400829</v>
      </c>
      <c r="H125" s="5">
        <v>58924466</v>
      </c>
      <c r="I125" s="5">
        <v>41476363</v>
      </c>
    </row>
    <row r="126" spans="1:9">
      <c r="A126" s="3">
        <v>46103</v>
      </c>
      <c r="B126" s="4" t="s">
        <v>35</v>
      </c>
      <c r="C126" t="s">
        <v>10</v>
      </c>
      <c r="D126" t="s">
        <v>11</v>
      </c>
      <c r="E126" t="s">
        <v>16</v>
      </c>
      <c r="F126" s="5">
        <v>151000000</v>
      </c>
      <c r="G126" s="5">
        <v>164028604</v>
      </c>
      <c r="H126" s="5">
        <v>92207094</v>
      </c>
      <c r="I126" s="5">
        <v>71821510</v>
      </c>
    </row>
    <row r="127" spans="1:9">
      <c r="A127" s="3">
        <v>46106</v>
      </c>
      <c r="B127" s="4" t="s">
        <v>35</v>
      </c>
      <c r="C127" t="s">
        <v>10</v>
      </c>
      <c r="D127" t="s">
        <v>13</v>
      </c>
      <c r="E127" t="s">
        <v>16</v>
      </c>
      <c r="F127" s="5">
        <v>100000000</v>
      </c>
      <c r="G127" s="5">
        <v>110930213</v>
      </c>
      <c r="H127" s="5">
        <v>64251143</v>
      </c>
      <c r="I127" s="5">
        <v>46679070</v>
      </c>
    </row>
    <row r="128" spans="1:9">
      <c r="A128" s="3">
        <v>46088</v>
      </c>
      <c r="B128" s="4" t="s">
        <v>35</v>
      </c>
      <c r="C128" t="s">
        <v>10</v>
      </c>
      <c r="D128" t="s">
        <v>14</v>
      </c>
      <c r="E128" t="s">
        <v>16</v>
      </c>
      <c r="F128" s="5">
        <v>88000000</v>
      </c>
      <c r="G128" s="5">
        <v>73084256</v>
      </c>
      <c r="H128" s="5">
        <v>42522578</v>
      </c>
      <c r="I128" s="5">
        <v>30561678</v>
      </c>
    </row>
    <row r="129" spans="1:9">
      <c r="A129" s="3">
        <v>46097</v>
      </c>
      <c r="B129" s="4" t="s">
        <v>35</v>
      </c>
      <c r="C129" t="s">
        <v>10</v>
      </c>
      <c r="D129" t="s">
        <v>15</v>
      </c>
      <c r="E129" t="s">
        <v>16</v>
      </c>
      <c r="F129" s="5">
        <v>148000000</v>
      </c>
      <c r="G129" s="5">
        <v>175437306</v>
      </c>
      <c r="H129" s="5">
        <v>98151500</v>
      </c>
      <c r="I129" s="5">
        <v>77285806</v>
      </c>
    </row>
    <row r="130" spans="1:9">
      <c r="A130" s="3">
        <v>46095</v>
      </c>
      <c r="B130" s="4" t="s">
        <v>35</v>
      </c>
      <c r="C130" t="s">
        <v>10</v>
      </c>
      <c r="D130" t="s">
        <v>11</v>
      </c>
      <c r="E130" t="s">
        <v>17</v>
      </c>
      <c r="F130" s="5">
        <v>150000000</v>
      </c>
      <c r="G130" s="5">
        <v>160130773</v>
      </c>
      <c r="H130" s="5">
        <v>103025732</v>
      </c>
      <c r="I130" s="5">
        <v>57105041</v>
      </c>
    </row>
    <row r="131" spans="1:9">
      <c r="A131" s="3">
        <v>46094</v>
      </c>
      <c r="B131" s="4" t="s">
        <v>35</v>
      </c>
      <c r="C131" t="s">
        <v>10</v>
      </c>
      <c r="D131" t="s">
        <v>13</v>
      </c>
      <c r="E131" t="s">
        <v>17</v>
      </c>
      <c r="F131" s="5">
        <v>133000000</v>
      </c>
      <c r="G131" s="5">
        <v>131916147</v>
      </c>
      <c r="H131" s="5">
        <v>75084596</v>
      </c>
      <c r="I131" s="5">
        <v>56831551</v>
      </c>
    </row>
    <row r="132" spans="1:9">
      <c r="A132" s="3">
        <v>46104</v>
      </c>
      <c r="B132" s="4" t="s">
        <v>35</v>
      </c>
      <c r="C132" t="s">
        <v>10</v>
      </c>
      <c r="D132" t="s">
        <v>14</v>
      </c>
      <c r="E132" t="s">
        <v>17</v>
      </c>
      <c r="F132" s="5">
        <v>70000000</v>
      </c>
      <c r="G132" s="5">
        <v>84269060</v>
      </c>
      <c r="H132" s="5">
        <v>55774090</v>
      </c>
      <c r="I132" s="5">
        <v>28494970</v>
      </c>
    </row>
    <row r="133" spans="1:9">
      <c r="A133" s="3">
        <v>46085</v>
      </c>
      <c r="B133" s="4" t="s">
        <v>35</v>
      </c>
      <c r="C133" t="s">
        <v>10</v>
      </c>
      <c r="D133" t="s">
        <v>15</v>
      </c>
      <c r="E133" t="s">
        <v>17</v>
      </c>
      <c r="F133" s="5">
        <v>124000000</v>
      </c>
      <c r="G133" s="5">
        <v>113348609</v>
      </c>
      <c r="H133" s="5">
        <v>74190550</v>
      </c>
      <c r="I133" s="5">
        <v>39158059</v>
      </c>
    </row>
    <row r="134" spans="1:9">
      <c r="A134" s="3">
        <v>46104</v>
      </c>
      <c r="B134" s="4" t="s">
        <v>35</v>
      </c>
      <c r="C134" t="s">
        <v>18</v>
      </c>
      <c r="D134" t="s">
        <v>11</v>
      </c>
      <c r="E134" t="s">
        <v>19</v>
      </c>
      <c r="F134" s="5">
        <v>136000000</v>
      </c>
      <c r="G134" s="5">
        <v>138686877</v>
      </c>
      <c r="H134" s="5">
        <v>86327415</v>
      </c>
      <c r="I134" s="5">
        <v>52359462</v>
      </c>
    </row>
    <row r="135" spans="1:9">
      <c r="A135" s="3">
        <v>46109</v>
      </c>
      <c r="B135" s="4" t="s">
        <v>35</v>
      </c>
      <c r="C135" t="s">
        <v>18</v>
      </c>
      <c r="D135" t="s">
        <v>13</v>
      </c>
      <c r="E135" t="s">
        <v>19</v>
      </c>
      <c r="F135" s="5">
        <v>85000000</v>
      </c>
      <c r="G135" s="5">
        <v>86383679</v>
      </c>
      <c r="H135" s="5">
        <v>56510834</v>
      </c>
      <c r="I135" s="5">
        <v>29872845</v>
      </c>
    </row>
    <row r="136" spans="1:9">
      <c r="A136" s="3">
        <v>46103</v>
      </c>
      <c r="B136" s="4" t="s">
        <v>35</v>
      </c>
      <c r="C136" t="s">
        <v>18</v>
      </c>
      <c r="D136" t="s">
        <v>14</v>
      </c>
      <c r="E136" t="s">
        <v>19</v>
      </c>
      <c r="F136" s="5">
        <v>137000000</v>
      </c>
      <c r="G136" s="5">
        <v>170536744</v>
      </c>
      <c r="H136" s="5">
        <v>106996254</v>
      </c>
      <c r="I136" s="5">
        <v>63540490</v>
      </c>
    </row>
    <row r="137" spans="1:9">
      <c r="A137" s="3">
        <v>46106</v>
      </c>
      <c r="B137" s="4" t="s">
        <v>35</v>
      </c>
      <c r="C137" t="s">
        <v>18</v>
      </c>
      <c r="D137" t="s">
        <v>15</v>
      </c>
      <c r="E137" t="s">
        <v>19</v>
      </c>
      <c r="F137" s="5">
        <v>126000000</v>
      </c>
      <c r="G137" s="5">
        <v>136513502</v>
      </c>
      <c r="H137" s="5">
        <v>87847205</v>
      </c>
      <c r="I137" s="5">
        <v>48666297</v>
      </c>
    </row>
    <row r="138" spans="1:9">
      <c r="A138" s="3">
        <v>46098</v>
      </c>
      <c r="B138" s="4" t="s">
        <v>35</v>
      </c>
      <c r="C138" t="s">
        <v>18</v>
      </c>
      <c r="D138" t="s">
        <v>11</v>
      </c>
      <c r="E138" t="s">
        <v>20</v>
      </c>
      <c r="F138" s="5">
        <v>124000000</v>
      </c>
      <c r="G138" s="5">
        <v>145965948</v>
      </c>
      <c r="H138" s="5">
        <v>90677455</v>
      </c>
      <c r="I138" s="5">
        <v>55288493</v>
      </c>
    </row>
    <row r="139" spans="1:9">
      <c r="A139" s="3">
        <v>46087</v>
      </c>
      <c r="B139" s="4" t="s">
        <v>35</v>
      </c>
      <c r="C139" t="s">
        <v>18</v>
      </c>
      <c r="D139" t="s">
        <v>13</v>
      </c>
      <c r="E139" t="s">
        <v>20</v>
      </c>
      <c r="F139" s="5">
        <v>130000000</v>
      </c>
      <c r="G139" s="5">
        <v>131758899</v>
      </c>
      <c r="H139" s="5">
        <v>85344321</v>
      </c>
      <c r="I139" s="5">
        <v>46414578</v>
      </c>
    </row>
    <row r="140" spans="1:9">
      <c r="A140" s="3">
        <v>46108</v>
      </c>
      <c r="B140" s="4" t="s">
        <v>35</v>
      </c>
      <c r="C140" t="s">
        <v>18</v>
      </c>
      <c r="D140" t="s">
        <v>14</v>
      </c>
      <c r="E140" t="s">
        <v>20</v>
      </c>
      <c r="F140" s="5">
        <v>151000000</v>
      </c>
      <c r="G140" s="5">
        <v>141825826</v>
      </c>
      <c r="H140" s="5">
        <v>92342473</v>
      </c>
      <c r="I140" s="5">
        <v>49483353</v>
      </c>
    </row>
    <row r="141" spans="1:9">
      <c r="A141" s="3">
        <v>46097</v>
      </c>
      <c r="B141" s="4" t="s">
        <v>35</v>
      </c>
      <c r="C141" t="s">
        <v>18</v>
      </c>
      <c r="D141" t="s">
        <v>15</v>
      </c>
      <c r="E141" t="s">
        <v>20</v>
      </c>
      <c r="F141" s="5">
        <v>150000000</v>
      </c>
      <c r="G141" s="5">
        <v>138431358</v>
      </c>
      <c r="H141" s="5">
        <v>84053227</v>
      </c>
      <c r="I141" s="5">
        <v>54378131</v>
      </c>
    </row>
    <row r="142" spans="1:9">
      <c r="A142" s="3">
        <v>46104</v>
      </c>
      <c r="B142" s="4" t="s">
        <v>35</v>
      </c>
      <c r="C142" t="s">
        <v>18</v>
      </c>
      <c r="D142" t="s">
        <v>11</v>
      </c>
      <c r="E142" t="s">
        <v>21</v>
      </c>
      <c r="F142" s="5">
        <v>106000000</v>
      </c>
      <c r="G142" s="5">
        <v>97608217</v>
      </c>
      <c r="H142" s="5">
        <v>57946111</v>
      </c>
      <c r="I142" s="5">
        <v>39662106</v>
      </c>
    </row>
    <row r="143" spans="1:9">
      <c r="A143" s="3">
        <v>46099</v>
      </c>
      <c r="B143" s="4" t="s">
        <v>35</v>
      </c>
      <c r="C143" t="s">
        <v>18</v>
      </c>
      <c r="D143" t="s">
        <v>13</v>
      </c>
      <c r="E143" t="s">
        <v>21</v>
      </c>
      <c r="F143" s="5">
        <v>80000000</v>
      </c>
      <c r="G143" s="5">
        <v>70360067</v>
      </c>
      <c r="H143" s="5">
        <v>40813341</v>
      </c>
      <c r="I143" s="5">
        <v>29546726</v>
      </c>
    </row>
    <row r="144" spans="1:9">
      <c r="A144" s="3">
        <v>46104</v>
      </c>
      <c r="B144" s="4" t="s">
        <v>35</v>
      </c>
      <c r="C144" t="s">
        <v>18</v>
      </c>
      <c r="D144" t="s">
        <v>14</v>
      </c>
      <c r="E144" t="s">
        <v>21</v>
      </c>
      <c r="F144" s="5">
        <v>89000000</v>
      </c>
      <c r="G144" s="5">
        <v>100014660</v>
      </c>
      <c r="H144" s="5">
        <v>55843160</v>
      </c>
      <c r="I144" s="5">
        <v>44171500</v>
      </c>
    </row>
    <row r="145" spans="1:9">
      <c r="A145" s="3">
        <v>46095</v>
      </c>
      <c r="B145" s="4" t="s">
        <v>35</v>
      </c>
      <c r="C145" t="s">
        <v>18</v>
      </c>
      <c r="D145" t="s">
        <v>15</v>
      </c>
      <c r="E145" t="s">
        <v>21</v>
      </c>
      <c r="F145" s="5">
        <v>112000000</v>
      </c>
      <c r="G145" s="5">
        <v>117972152</v>
      </c>
      <c r="H145" s="5">
        <v>71261155</v>
      </c>
      <c r="I145" s="5">
        <v>46710997</v>
      </c>
    </row>
    <row r="146" spans="1:9">
      <c r="A146" s="3">
        <v>46088</v>
      </c>
      <c r="B146" s="4" t="s">
        <v>35</v>
      </c>
      <c r="C146" t="s">
        <v>22</v>
      </c>
      <c r="D146" t="s">
        <v>11</v>
      </c>
      <c r="E146" t="s">
        <v>23</v>
      </c>
      <c r="F146" s="5">
        <v>123000000</v>
      </c>
      <c r="G146" s="5">
        <v>121459428</v>
      </c>
      <c r="H146" s="5">
        <v>78957549</v>
      </c>
      <c r="I146" s="5">
        <v>42501879</v>
      </c>
    </row>
    <row r="147" spans="1:9">
      <c r="A147" s="3">
        <v>46104</v>
      </c>
      <c r="B147" s="4" t="s">
        <v>35</v>
      </c>
      <c r="C147" t="s">
        <v>22</v>
      </c>
      <c r="D147" t="s">
        <v>13</v>
      </c>
      <c r="E147" t="s">
        <v>23</v>
      </c>
      <c r="F147" s="5">
        <v>72000000</v>
      </c>
      <c r="G147" s="5">
        <v>85564423</v>
      </c>
      <c r="H147" s="5">
        <v>55576428</v>
      </c>
      <c r="I147" s="5">
        <v>29987995</v>
      </c>
    </row>
    <row r="148" spans="1:9">
      <c r="A148" s="3">
        <v>46094</v>
      </c>
      <c r="B148" s="4" t="s">
        <v>35</v>
      </c>
      <c r="C148" t="s">
        <v>22</v>
      </c>
      <c r="D148" t="s">
        <v>14</v>
      </c>
      <c r="E148" t="s">
        <v>23</v>
      </c>
      <c r="F148" s="5">
        <v>131000000</v>
      </c>
      <c r="G148" s="5">
        <v>107752126</v>
      </c>
      <c r="H148" s="5">
        <v>64191027</v>
      </c>
      <c r="I148" s="5">
        <v>43561099</v>
      </c>
    </row>
    <row r="149" spans="1:9">
      <c r="A149" s="3">
        <v>46106</v>
      </c>
      <c r="B149" s="4" t="s">
        <v>35</v>
      </c>
      <c r="C149" t="s">
        <v>22</v>
      </c>
      <c r="D149" t="s">
        <v>15</v>
      </c>
      <c r="E149" t="s">
        <v>23</v>
      </c>
      <c r="F149" s="5">
        <v>119000000</v>
      </c>
      <c r="G149" s="5">
        <v>141250931</v>
      </c>
      <c r="H149" s="5">
        <v>95195492</v>
      </c>
      <c r="I149" s="5">
        <v>46055439</v>
      </c>
    </row>
    <row r="150" spans="1:9">
      <c r="A150" s="3">
        <v>46095</v>
      </c>
      <c r="B150" s="4" t="s">
        <v>35</v>
      </c>
      <c r="C150" t="s">
        <v>22</v>
      </c>
      <c r="D150" t="s">
        <v>11</v>
      </c>
      <c r="E150" t="s">
        <v>24</v>
      </c>
      <c r="F150" s="5">
        <v>138000000</v>
      </c>
      <c r="G150" s="5">
        <v>157517579</v>
      </c>
      <c r="H150" s="5">
        <v>97817975</v>
      </c>
      <c r="I150" s="5">
        <v>59699604</v>
      </c>
    </row>
    <row r="151" spans="1:9">
      <c r="A151" s="3">
        <v>46101</v>
      </c>
      <c r="B151" s="4" t="s">
        <v>35</v>
      </c>
      <c r="C151" t="s">
        <v>22</v>
      </c>
      <c r="D151" t="s">
        <v>13</v>
      </c>
      <c r="E151" t="s">
        <v>24</v>
      </c>
      <c r="F151" s="5">
        <v>98000000</v>
      </c>
      <c r="G151" s="5">
        <v>100933990</v>
      </c>
      <c r="H151" s="5">
        <v>59094993</v>
      </c>
      <c r="I151" s="5">
        <v>41838997</v>
      </c>
    </row>
    <row r="152" spans="1:9">
      <c r="A152" s="3">
        <v>46097</v>
      </c>
      <c r="B152" s="4" t="s">
        <v>35</v>
      </c>
      <c r="C152" t="s">
        <v>22</v>
      </c>
      <c r="D152" t="s">
        <v>14</v>
      </c>
      <c r="E152" t="s">
        <v>24</v>
      </c>
      <c r="F152" s="5">
        <v>73000000</v>
      </c>
      <c r="G152" s="5">
        <v>72066227</v>
      </c>
      <c r="H152" s="5">
        <v>45902840</v>
      </c>
      <c r="I152" s="5">
        <v>26163387</v>
      </c>
    </row>
    <row r="153" spans="1:9">
      <c r="A153" s="3">
        <v>46107</v>
      </c>
      <c r="B153" s="4" t="s">
        <v>35</v>
      </c>
      <c r="C153" t="s">
        <v>22</v>
      </c>
      <c r="D153" t="s">
        <v>15</v>
      </c>
      <c r="E153" t="s">
        <v>24</v>
      </c>
      <c r="F153" s="5">
        <v>121000000</v>
      </c>
      <c r="G153" s="5">
        <v>136899157</v>
      </c>
      <c r="H153" s="5">
        <v>90252923</v>
      </c>
      <c r="I153" s="5">
        <v>46646234</v>
      </c>
    </row>
    <row r="154" spans="1:9">
      <c r="A154" s="3">
        <v>46086</v>
      </c>
      <c r="B154" s="4" t="s">
        <v>35</v>
      </c>
      <c r="C154" t="s">
        <v>22</v>
      </c>
      <c r="D154" t="s">
        <v>11</v>
      </c>
      <c r="E154" t="s">
        <v>25</v>
      </c>
      <c r="F154" s="5">
        <v>149000000</v>
      </c>
      <c r="G154" s="5">
        <v>156401300</v>
      </c>
      <c r="H154" s="5">
        <v>104460545</v>
      </c>
      <c r="I154" s="5">
        <v>51940755</v>
      </c>
    </row>
    <row r="155" spans="1:9">
      <c r="A155" s="3">
        <v>46100</v>
      </c>
      <c r="B155" s="4" t="s">
        <v>35</v>
      </c>
      <c r="C155" t="s">
        <v>22</v>
      </c>
      <c r="D155" t="s">
        <v>13</v>
      </c>
      <c r="E155" t="s">
        <v>25</v>
      </c>
      <c r="F155" s="5">
        <v>142000000</v>
      </c>
      <c r="G155" s="5">
        <v>156922765</v>
      </c>
      <c r="H155" s="5">
        <v>88020045</v>
      </c>
      <c r="I155" s="5">
        <v>68902720</v>
      </c>
    </row>
    <row r="156" spans="1:9">
      <c r="A156" s="3">
        <v>46095</v>
      </c>
      <c r="B156" s="4" t="s">
        <v>35</v>
      </c>
      <c r="C156" t="s">
        <v>22</v>
      </c>
      <c r="D156" t="s">
        <v>14</v>
      </c>
      <c r="E156" t="s">
        <v>25</v>
      </c>
      <c r="F156" s="5">
        <v>87000000</v>
      </c>
      <c r="G156" s="5">
        <v>103768909</v>
      </c>
      <c r="H156" s="5">
        <v>59524416</v>
      </c>
      <c r="I156" s="5">
        <v>44244493</v>
      </c>
    </row>
    <row r="157" spans="1:9">
      <c r="A157" s="3">
        <v>46090</v>
      </c>
      <c r="B157" s="4" t="s">
        <v>35</v>
      </c>
      <c r="C157" t="s">
        <v>22</v>
      </c>
      <c r="D157" t="s">
        <v>15</v>
      </c>
      <c r="E157" t="s">
        <v>25</v>
      </c>
      <c r="F157" s="5">
        <v>118000000</v>
      </c>
      <c r="G157" s="5">
        <v>113369874</v>
      </c>
      <c r="H157" s="5">
        <v>69054827</v>
      </c>
      <c r="I157" s="5">
        <v>44315047</v>
      </c>
    </row>
    <row r="158" spans="1:9">
      <c r="A158" s="3">
        <v>46092</v>
      </c>
      <c r="B158" s="4" t="s">
        <v>35</v>
      </c>
      <c r="C158" t="s">
        <v>26</v>
      </c>
      <c r="D158" t="s">
        <v>11</v>
      </c>
      <c r="E158" t="s">
        <v>27</v>
      </c>
      <c r="F158" s="5">
        <v>118000000</v>
      </c>
      <c r="G158" s="5">
        <v>110878740</v>
      </c>
      <c r="H158" s="5">
        <v>74694187</v>
      </c>
      <c r="I158" s="5">
        <v>36184553</v>
      </c>
    </row>
    <row r="159" spans="1:9">
      <c r="A159" s="3">
        <v>46095</v>
      </c>
      <c r="B159" s="4" t="s">
        <v>35</v>
      </c>
      <c r="C159" t="s">
        <v>26</v>
      </c>
      <c r="D159" t="s">
        <v>13</v>
      </c>
      <c r="E159" t="s">
        <v>27</v>
      </c>
      <c r="F159" s="5">
        <v>102000000</v>
      </c>
      <c r="G159" s="5">
        <v>120259192</v>
      </c>
      <c r="H159" s="5">
        <v>73495189</v>
      </c>
      <c r="I159" s="5">
        <v>46764003</v>
      </c>
    </row>
    <row r="160" spans="1:9">
      <c r="A160" s="3">
        <v>46105</v>
      </c>
      <c r="B160" s="4" t="s">
        <v>35</v>
      </c>
      <c r="C160" t="s">
        <v>26</v>
      </c>
      <c r="D160" t="s">
        <v>14</v>
      </c>
      <c r="E160" t="s">
        <v>27</v>
      </c>
      <c r="F160" s="5">
        <v>139000000</v>
      </c>
      <c r="G160" s="5">
        <v>117093156</v>
      </c>
      <c r="H160" s="5">
        <v>78891462</v>
      </c>
      <c r="I160" s="5">
        <v>38201694</v>
      </c>
    </row>
    <row r="161" spans="1:9">
      <c r="A161" s="3">
        <v>46089</v>
      </c>
      <c r="B161" s="4" t="s">
        <v>35</v>
      </c>
      <c r="C161" t="s">
        <v>26</v>
      </c>
      <c r="D161" t="s">
        <v>15</v>
      </c>
      <c r="E161" t="s">
        <v>27</v>
      </c>
      <c r="F161" s="5">
        <v>153000000</v>
      </c>
      <c r="G161" s="5">
        <v>129974402</v>
      </c>
      <c r="H161" s="5">
        <v>87660862</v>
      </c>
      <c r="I161" s="5">
        <v>42313540</v>
      </c>
    </row>
    <row r="162" spans="1:9">
      <c r="A162" s="3">
        <v>46083</v>
      </c>
      <c r="B162" s="4" t="s">
        <v>35</v>
      </c>
      <c r="C162" t="s">
        <v>26</v>
      </c>
      <c r="D162" t="s">
        <v>11</v>
      </c>
      <c r="E162" t="s">
        <v>28</v>
      </c>
      <c r="F162" s="5">
        <v>73000000</v>
      </c>
      <c r="G162" s="5">
        <v>89668312</v>
      </c>
      <c r="H162" s="5">
        <v>51641495</v>
      </c>
      <c r="I162" s="5">
        <v>38026817</v>
      </c>
    </row>
    <row r="163" spans="1:9">
      <c r="A163" s="3">
        <v>46082</v>
      </c>
      <c r="B163" s="4" t="s">
        <v>35</v>
      </c>
      <c r="C163" t="s">
        <v>26</v>
      </c>
      <c r="D163" t="s">
        <v>13</v>
      </c>
      <c r="E163" t="s">
        <v>28</v>
      </c>
      <c r="F163" s="5">
        <v>149000000</v>
      </c>
      <c r="G163" s="5">
        <v>131943136</v>
      </c>
      <c r="H163" s="5">
        <v>74733743</v>
      </c>
      <c r="I163" s="5">
        <v>57209393</v>
      </c>
    </row>
    <row r="164" spans="1:9">
      <c r="A164" s="3">
        <v>46103</v>
      </c>
      <c r="B164" s="4" t="s">
        <v>35</v>
      </c>
      <c r="C164" t="s">
        <v>26</v>
      </c>
      <c r="D164" t="s">
        <v>14</v>
      </c>
      <c r="E164" t="s">
        <v>28</v>
      </c>
      <c r="F164" s="5">
        <v>84000000</v>
      </c>
      <c r="G164" s="5">
        <v>89250581</v>
      </c>
      <c r="H164" s="5">
        <v>51616769</v>
      </c>
      <c r="I164" s="5">
        <v>37633812</v>
      </c>
    </row>
    <row r="165" spans="1:9">
      <c r="A165" s="3">
        <v>46104</v>
      </c>
      <c r="B165" s="4" t="s">
        <v>35</v>
      </c>
      <c r="C165" t="s">
        <v>26</v>
      </c>
      <c r="D165" t="s">
        <v>15</v>
      </c>
      <c r="E165" t="s">
        <v>28</v>
      </c>
      <c r="F165" s="5">
        <v>102000000</v>
      </c>
      <c r="G165" s="5">
        <v>117276150</v>
      </c>
      <c r="H165" s="5">
        <v>67059978</v>
      </c>
      <c r="I165" s="5">
        <v>50216172</v>
      </c>
    </row>
    <row r="166" spans="1:9">
      <c r="A166" s="3">
        <v>46101</v>
      </c>
      <c r="B166" s="4" t="s">
        <v>35</v>
      </c>
      <c r="C166" t="s">
        <v>26</v>
      </c>
      <c r="D166" t="s">
        <v>11</v>
      </c>
      <c r="E166" t="s">
        <v>29</v>
      </c>
      <c r="F166" s="5">
        <v>84000000</v>
      </c>
      <c r="G166" s="5">
        <v>96973842</v>
      </c>
      <c r="H166" s="5">
        <v>55400143</v>
      </c>
      <c r="I166" s="5">
        <v>41573699</v>
      </c>
    </row>
    <row r="167" spans="1:9">
      <c r="A167" s="3">
        <v>46091</v>
      </c>
      <c r="B167" s="4" t="s">
        <v>35</v>
      </c>
      <c r="C167" t="s">
        <v>26</v>
      </c>
      <c r="D167" t="s">
        <v>13</v>
      </c>
      <c r="E167" t="s">
        <v>29</v>
      </c>
      <c r="F167" s="5">
        <v>83000000</v>
      </c>
      <c r="G167" s="5">
        <v>88713258</v>
      </c>
      <c r="H167" s="5">
        <v>59504890</v>
      </c>
      <c r="I167" s="5">
        <v>29208368</v>
      </c>
    </row>
    <row r="168" spans="1:9">
      <c r="A168" s="3">
        <v>46100</v>
      </c>
      <c r="B168" s="4" t="s">
        <v>35</v>
      </c>
      <c r="C168" t="s">
        <v>26</v>
      </c>
      <c r="D168" t="s">
        <v>14</v>
      </c>
      <c r="E168" t="s">
        <v>29</v>
      </c>
      <c r="F168" s="5">
        <v>156000000</v>
      </c>
      <c r="G168" s="5">
        <v>188830394</v>
      </c>
      <c r="H168" s="5">
        <v>113069733</v>
      </c>
      <c r="I168" s="5">
        <v>75760661</v>
      </c>
    </row>
    <row r="169" spans="1:9">
      <c r="A169" s="3">
        <v>46104</v>
      </c>
      <c r="B169" s="4" t="s">
        <v>35</v>
      </c>
      <c r="C169" t="s">
        <v>26</v>
      </c>
      <c r="D169" t="s">
        <v>15</v>
      </c>
      <c r="E169" t="s">
        <v>29</v>
      </c>
      <c r="F169" s="5">
        <v>95000000</v>
      </c>
      <c r="G169" s="5">
        <v>81004456</v>
      </c>
      <c r="H169" s="5">
        <v>51825020</v>
      </c>
      <c r="I169" s="5">
        <v>29179436</v>
      </c>
    </row>
    <row r="170" spans="1:9">
      <c r="A170" s="3">
        <v>46102</v>
      </c>
      <c r="B170" s="4" t="s">
        <v>35</v>
      </c>
      <c r="C170" t="s">
        <v>30</v>
      </c>
      <c r="D170" t="s">
        <v>11</v>
      </c>
      <c r="E170" t="s">
        <v>31</v>
      </c>
      <c r="F170" s="5">
        <v>101000000</v>
      </c>
      <c r="G170" s="5">
        <v>87245573</v>
      </c>
      <c r="H170" s="5">
        <v>56746485</v>
      </c>
      <c r="I170" s="5">
        <v>30499088</v>
      </c>
    </row>
    <row r="171" spans="1:9">
      <c r="A171" s="3">
        <v>46109</v>
      </c>
      <c r="B171" s="4" t="s">
        <v>35</v>
      </c>
      <c r="C171" t="s">
        <v>30</v>
      </c>
      <c r="D171" t="s">
        <v>13</v>
      </c>
      <c r="E171" t="s">
        <v>31</v>
      </c>
      <c r="F171" s="5">
        <v>157000000</v>
      </c>
      <c r="G171" s="5">
        <v>169273788</v>
      </c>
      <c r="H171" s="5">
        <v>95764471</v>
      </c>
      <c r="I171" s="5">
        <v>73509317</v>
      </c>
    </row>
    <row r="172" spans="1:9">
      <c r="A172" s="3">
        <v>46100</v>
      </c>
      <c r="B172" s="4" t="s">
        <v>35</v>
      </c>
      <c r="C172" t="s">
        <v>30</v>
      </c>
      <c r="D172" t="s">
        <v>14</v>
      </c>
      <c r="E172" t="s">
        <v>31</v>
      </c>
      <c r="F172" s="5">
        <v>75000000</v>
      </c>
      <c r="G172" s="5">
        <v>72697321</v>
      </c>
      <c r="H172" s="5">
        <v>44031977</v>
      </c>
      <c r="I172" s="5">
        <v>28665344</v>
      </c>
    </row>
    <row r="173" spans="1:9">
      <c r="A173" s="3">
        <v>46093</v>
      </c>
      <c r="B173" s="4" t="s">
        <v>35</v>
      </c>
      <c r="C173" t="s">
        <v>30</v>
      </c>
      <c r="D173" t="s">
        <v>15</v>
      </c>
      <c r="E173" t="s">
        <v>31</v>
      </c>
      <c r="F173" s="5">
        <v>78000000</v>
      </c>
      <c r="G173" s="5">
        <v>80929924</v>
      </c>
      <c r="H173" s="5">
        <v>48101513</v>
      </c>
      <c r="I173" s="5">
        <v>32828411</v>
      </c>
    </row>
    <row r="174" spans="1:9">
      <c r="A174" s="3">
        <v>46109</v>
      </c>
      <c r="B174" s="4" t="s">
        <v>35</v>
      </c>
      <c r="C174" t="s">
        <v>30</v>
      </c>
      <c r="D174" t="s">
        <v>11</v>
      </c>
      <c r="E174" t="s">
        <v>32</v>
      </c>
      <c r="F174" s="5">
        <v>123000000</v>
      </c>
      <c r="G174" s="5">
        <v>144353082</v>
      </c>
      <c r="H174" s="5">
        <v>81374727</v>
      </c>
      <c r="I174" s="5">
        <v>62978355</v>
      </c>
    </row>
    <row r="175" spans="1:9">
      <c r="A175" s="3">
        <v>46093</v>
      </c>
      <c r="B175" s="4" t="s">
        <v>35</v>
      </c>
      <c r="C175" t="s">
        <v>30</v>
      </c>
      <c r="D175" t="s">
        <v>13</v>
      </c>
      <c r="E175" t="s">
        <v>32</v>
      </c>
      <c r="F175" s="5">
        <v>151000000</v>
      </c>
      <c r="G175" s="5">
        <v>181709965</v>
      </c>
      <c r="H175" s="5">
        <v>110800579</v>
      </c>
      <c r="I175" s="5">
        <v>70909386</v>
      </c>
    </row>
    <row r="176" spans="1:9">
      <c r="A176" s="3">
        <v>46086</v>
      </c>
      <c r="B176" s="4" t="s">
        <v>35</v>
      </c>
      <c r="C176" t="s">
        <v>30</v>
      </c>
      <c r="D176" t="s">
        <v>14</v>
      </c>
      <c r="E176" t="s">
        <v>32</v>
      </c>
      <c r="F176" s="5">
        <v>125000000</v>
      </c>
      <c r="G176" s="5">
        <v>111967361</v>
      </c>
      <c r="H176" s="5">
        <v>69176467</v>
      </c>
      <c r="I176" s="5">
        <v>42790894</v>
      </c>
    </row>
    <row r="177" spans="1:9">
      <c r="A177" s="3">
        <v>46102</v>
      </c>
      <c r="B177" s="4" t="s">
        <v>35</v>
      </c>
      <c r="C177" t="s">
        <v>30</v>
      </c>
      <c r="D177" t="s">
        <v>15</v>
      </c>
      <c r="E177" t="s">
        <v>32</v>
      </c>
      <c r="F177" s="5">
        <v>104000000</v>
      </c>
      <c r="G177" s="5">
        <v>112823600</v>
      </c>
      <c r="H177" s="5">
        <v>75541074</v>
      </c>
      <c r="I177" s="5">
        <v>37282526</v>
      </c>
    </row>
    <row r="178" spans="1:9">
      <c r="A178" s="3">
        <v>46106</v>
      </c>
      <c r="B178" s="4" t="s">
        <v>35</v>
      </c>
      <c r="C178" t="s">
        <v>30</v>
      </c>
      <c r="D178" t="s">
        <v>11</v>
      </c>
      <c r="E178" t="s">
        <v>33</v>
      </c>
      <c r="F178" s="5">
        <v>131000000</v>
      </c>
      <c r="G178" s="5">
        <v>133606339</v>
      </c>
      <c r="H178" s="5">
        <v>87825525</v>
      </c>
      <c r="I178" s="5">
        <v>45780814</v>
      </c>
    </row>
    <row r="179" spans="1:9">
      <c r="A179" s="3">
        <v>46100</v>
      </c>
      <c r="B179" s="4" t="s">
        <v>35</v>
      </c>
      <c r="C179" t="s">
        <v>30</v>
      </c>
      <c r="D179" t="s">
        <v>13</v>
      </c>
      <c r="E179" t="s">
        <v>33</v>
      </c>
      <c r="F179" s="5">
        <v>104000000</v>
      </c>
      <c r="G179" s="5">
        <v>99693460</v>
      </c>
      <c r="H179" s="5">
        <v>58013057</v>
      </c>
      <c r="I179" s="5">
        <v>41680403</v>
      </c>
    </row>
    <row r="180" spans="1:9">
      <c r="A180" s="3">
        <v>46084</v>
      </c>
      <c r="B180" s="4" t="s">
        <v>35</v>
      </c>
      <c r="C180" t="s">
        <v>30</v>
      </c>
      <c r="D180" t="s">
        <v>14</v>
      </c>
      <c r="E180" t="s">
        <v>33</v>
      </c>
      <c r="F180" s="5">
        <v>105000000</v>
      </c>
      <c r="G180" s="5">
        <v>125905647</v>
      </c>
      <c r="H180" s="5">
        <v>73239597</v>
      </c>
      <c r="I180" s="5">
        <v>52666050</v>
      </c>
    </row>
    <row r="181" spans="1:9">
      <c r="A181" s="3">
        <v>46096</v>
      </c>
      <c r="B181" s="4" t="s">
        <v>35</v>
      </c>
      <c r="C181" t="s">
        <v>30</v>
      </c>
      <c r="D181" t="s">
        <v>15</v>
      </c>
      <c r="E181" t="s">
        <v>33</v>
      </c>
      <c r="F181" s="5">
        <v>142000000</v>
      </c>
      <c r="G181" s="5">
        <v>153706853</v>
      </c>
      <c r="H181" s="5">
        <v>92111692</v>
      </c>
      <c r="I181" s="5">
        <v>61595161</v>
      </c>
    </row>
    <row r="182" spans="1:9">
      <c r="A182" s="3">
        <v>46102</v>
      </c>
      <c r="B182" s="6" t="s">
        <v>35</v>
      </c>
      <c r="C182" t="s">
        <v>36</v>
      </c>
      <c r="D182" t="s">
        <v>14</v>
      </c>
      <c r="E182" t="s">
        <v>32</v>
      </c>
      <c r="F182" s="5">
        <v>103000000</v>
      </c>
      <c r="G182" s="5">
        <v>112000000</v>
      </c>
      <c r="H182" s="5">
        <v>83212987</v>
      </c>
      <c r="I182" s="5">
        <v>29212987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324D-C76A-46E7-9767-626354D1DF9C}">
  <dimension ref="A1:E9"/>
  <sheetViews>
    <sheetView workbookViewId="0">
      <selection activeCell="B4" sqref="B4"/>
    </sheetView>
  </sheetViews>
  <sheetFormatPr defaultRowHeight="15"/>
  <cols>
    <col min="1" max="1" width="20.5703125" bestFit="1" customWidth="1"/>
    <col min="2" max="2" width="22.5703125" bestFit="1" customWidth="1"/>
    <col min="3" max="3" width="19.140625" bestFit="1" customWidth="1"/>
    <col min="4" max="5" width="16.7109375" bestFit="1" customWidth="1"/>
  </cols>
  <sheetData>
    <row r="1" spans="1:5">
      <c r="A1" s="7" t="s">
        <v>1</v>
      </c>
      <c r="B1" t="s">
        <v>37</v>
      </c>
    </row>
    <row r="2" spans="1:5">
      <c r="A2" s="7" t="s">
        <v>2</v>
      </c>
      <c r="B2" t="s">
        <v>37</v>
      </c>
    </row>
    <row r="4" spans="1:5">
      <c r="A4" s="7" t="s">
        <v>38</v>
      </c>
      <c r="B4" t="s">
        <v>40</v>
      </c>
      <c r="C4" t="s">
        <v>43</v>
      </c>
      <c r="D4" t="s">
        <v>41</v>
      </c>
      <c r="E4" t="s">
        <v>42</v>
      </c>
    </row>
    <row r="5" spans="1:5">
      <c r="A5" s="8" t="s">
        <v>13</v>
      </c>
      <c r="B5" s="5">
        <v>5271301542</v>
      </c>
      <c r="C5" s="5">
        <v>2052390113</v>
      </c>
      <c r="D5" s="5">
        <v>5093000000</v>
      </c>
      <c r="E5" s="5">
        <v>3218911429</v>
      </c>
    </row>
    <row r="6" spans="1:5">
      <c r="A6" s="8" t="s">
        <v>15</v>
      </c>
      <c r="B6" s="5">
        <v>5319693579</v>
      </c>
      <c r="C6" s="5">
        <v>2034180061</v>
      </c>
      <c r="D6" s="5">
        <v>5209000000</v>
      </c>
      <c r="E6" s="5">
        <v>3285513518</v>
      </c>
    </row>
    <row r="7" spans="1:5">
      <c r="A7" s="8" t="s">
        <v>11</v>
      </c>
      <c r="B7" s="5">
        <v>5131799743</v>
      </c>
      <c r="C7" s="5">
        <v>1928176310</v>
      </c>
      <c r="D7" s="5">
        <v>5006000000</v>
      </c>
      <c r="E7" s="5">
        <v>3203623433</v>
      </c>
    </row>
    <row r="8" spans="1:5">
      <c r="A8" s="8" t="s">
        <v>14</v>
      </c>
      <c r="B8" s="5">
        <v>5064787895</v>
      </c>
      <c r="C8" s="5">
        <v>1923870369</v>
      </c>
      <c r="D8" s="5">
        <v>4861000000</v>
      </c>
      <c r="E8" s="5">
        <v>3141343500</v>
      </c>
    </row>
    <row r="9" spans="1:5">
      <c r="A9" s="8" t="s">
        <v>39</v>
      </c>
      <c r="B9" s="5">
        <v>20787582759</v>
      </c>
      <c r="C9" s="5">
        <v>7938616853</v>
      </c>
      <c r="D9" s="5">
        <v>20169000000</v>
      </c>
      <c r="E9" s="5">
        <v>12849391880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FAFF-2C1D-475C-A68E-3BF6D118A476}">
  <dimension ref="B2:H13"/>
  <sheetViews>
    <sheetView topLeftCell="D1" workbookViewId="0">
      <selection activeCell="H10" sqref="H10"/>
    </sheetView>
  </sheetViews>
  <sheetFormatPr defaultRowHeight="15"/>
  <cols>
    <col min="2" max="2" width="37.42578125" customWidth="1"/>
    <col min="3" max="3" width="34" customWidth="1"/>
    <col min="4" max="4" width="32" customWidth="1"/>
    <col min="5" max="5" width="26.42578125" customWidth="1"/>
    <col min="7" max="7" width="18" customWidth="1"/>
    <col min="8" max="8" width="16.42578125" customWidth="1"/>
  </cols>
  <sheetData>
    <row r="2" spans="2:8" ht="15.75">
      <c r="B2" s="10" t="s">
        <v>44</v>
      </c>
    </row>
    <row r="4" spans="2:8">
      <c r="B4" t="s">
        <v>45</v>
      </c>
      <c r="C4" t="s">
        <v>46</v>
      </c>
    </row>
    <row r="6" spans="2:8">
      <c r="B6" s="9" t="s">
        <v>2</v>
      </c>
      <c r="C6" s="9" t="s">
        <v>47</v>
      </c>
      <c r="D6" s="9" t="s">
        <v>48</v>
      </c>
      <c r="E6" s="9" t="s">
        <v>49</v>
      </c>
      <c r="G6" s="9" t="s">
        <v>58</v>
      </c>
      <c r="H6" s="9" t="s">
        <v>59</v>
      </c>
    </row>
    <row r="7" spans="2:8">
      <c r="B7" s="9" t="s">
        <v>10</v>
      </c>
      <c r="C7" s="9" t="s">
        <v>12</v>
      </c>
      <c r="D7" s="9" t="s">
        <v>52</v>
      </c>
      <c r="E7" s="9" t="s">
        <v>57</v>
      </c>
      <c r="G7" t="s">
        <v>60</v>
      </c>
      <c r="H7" t="s">
        <v>61</v>
      </c>
    </row>
    <row r="8" spans="2:8">
      <c r="B8" s="9" t="s">
        <v>18</v>
      </c>
      <c r="C8" s="9" t="s">
        <v>19</v>
      </c>
      <c r="D8" s="9" t="s">
        <v>53</v>
      </c>
      <c r="E8" s="9" t="s">
        <v>57</v>
      </c>
      <c r="G8" t="s">
        <v>10</v>
      </c>
      <c r="H8" s="11" t="s">
        <v>9</v>
      </c>
    </row>
    <row r="9" spans="2:8">
      <c r="B9" s="9" t="s">
        <v>22</v>
      </c>
      <c r="C9" s="9" t="s">
        <v>50</v>
      </c>
      <c r="D9" s="9" t="s">
        <v>54</v>
      </c>
      <c r="E9" s="9" t="s">
        <v>57</v>
      </c>
      <c r="G9" t="s">
        <v>18</v>
      </c>
      <c r="H9" s="11" t="s">
        <v>34</v>
      </c>
    </row>
    <row r="10" spans="2:8">
      <c r="B10" s="9" t="s">
        <v>26</v>
      </c>
      <c r="C10" s="9" t="s">
        <v>17</v>
      </c>
      <c r="D10" s="9" t="s">
        <v>55</v>
      </c>
      <c r="E10" s="9" t="s">
        <v>57</v>
      </c>
      <c r="G10" t="s">
        <v>22</v>
      </c>
      <c r="H10" s="11" t="s">
        <v>62</v>
      </c>
    </row>
    <row r="11" spans="2:8">
      <c r="B11" s="9" t="s">
        <v>30</v>
      </c>
      <c r="C11" s="9" t="s">
        <v>51</v>
      </c>
      <c r="D11" s="9" t="s">
        <v>56</v>
      </c>
      <c r="E11" s="9" t="s">
        <v>57</v>
      </c>
      <c r="G11" t="s">
        <v>26</v>
      </c>
    </row>
    <row r="12" spans="2:8">
      <c r="B12" s="9"/>
      <c r="C12" s="9"/>
      <c r="D12" s="9"/>
      <c r="E12" s="9"/>
      <c r="G12" t="s">
        <v>30</v>
      </c>
    </row>
    <row r="13" spans="2:8">
      <c r="B13" s="9"/>
      <c r="C13" s="9"/>
      <c r="D13" s="9"/>
      <c r="E13" s="9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Pivot_Calculations</vt:lpstr>
      <vt:lpstr>Settings_Config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Muhammad</dc:creator>
  <cp:lastModifiedBy>Ilyas Muhammad</cp:lastModifiedBy>
  <dcterms:created xsi:type="dcterms:W3CDTF">2026-10-08T03:23:15Z</dcterms:created>
  <dcterms:modified xsi:type="dcterms:W3CDTF">2026-10-08T07:30:20Z</dcterms:modified>
</cp:coreProperties>
</file>